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19416" windowHeight="11496"/>
  </bookViews>
  <sheets>
    <sheet name="Sheet1" sheetId="1" r:id="rId1"/>
    <sheet name="Sheet3" sheetId="3" r:id="rId2"/>
  </sheets>
  <definedNames>
    <definedName name="_xlnm._FilterDatabase" localSheetId="0" hidden="1">Sheet1!$A$2:$J$2</definedName>
  </definedNames>
  <calcPr calcId="145621"/>
</workbook>
</file>

<file path=xl/calcChain.xml><?xml version="1.0" encoding="utf-8"?>
<calcChain xmlns="http://schemas.openxmlformats.org/spreadsheetml/2006/main">
  <c r="J31" i="1" l="1"/>
  <c r="J29" i="1"/>
  <c r="G61" i="1" l="1"/>
  <c r="H61" i="1"/>
  <c r="I61" i="1"/>
  <c r="J60" i="1"/>
  <c r="J59" i="1"/>
  <c r="J53" i="1"/>
  <c r="J52" i="1"/>
  <c r="J51" i="1"/>
  <c r="J50" i="1"/>
  <c r="J49" i="1"/>
  <c r="J61" i="1" l="1"/>
</calcChain>
</file>

<file path=xl/sharedStrings.xml><?xml version="1.0" encoding="utf-8"?>
<sst xmlns="http://schemas.openxmlformats.org/spreadsheetml/2006/main" count="295" uniqueCount="171">
  <si>
    <t>Category</t>
  </si>
  <si>
    <t>Description</t>
  </si>
  <si>
    <t>Gross Wt. Kg</t>
  </si>
  <si>
    <t>Net Wt. Kg</t>
  </si>
  <si>
    <t>Length Cm</t>
  </si>
  <si>
    <t>Breadth Cm</t>
  </si>
  <si>
    <t>Height Cm</t>
  </si>
  <si>
    <t>CBM</t>
  </si>
  <si>
    <t>Case Size Qty Per Carton</t>
  </si>
  <si>
    <t>25 Doz</t>
  </si>
  <si>
    <t>MASALA 15 GMS</t>
  </si>
  <si>
    <t>24 Doz</t>
  </si>
  <si>
    <t>0.060</t>
  </si>
  <si>
    <t>NEW AGE MASALA 15 GMS</t>
  </si>
  <si>
    <t>UNIVERSAL MASALA GIFT PACK</t>
  </si>
  <si>
    <t>48 Pcs</t>
  </si>
  <si>
    <t xml:space="preserve">NATURE MASALA GIFT PACK </t>
  </si>
  <si>
    <t>100 GM MASALA PACK</t>
  </si>
  <si>
    <t>6 Doz</t>
  </si>
  <si>
    <t>12 Doz</t>
  </si>
  <si>
    <t>7 SERIES POUCH</t>
  </si>
  <si>
    <r>
      <t>AROMA OIL</t>
    </r>
    <r>
      <rPr>
        <sz val="7"/>
        <color rgb="FF3D2020"/>
        <rFont val="Arial"/>
        <family val="2"/>
      </rPr>
      <t> </t>
    </r>
  </si>
  <si>
    <t>8 Doz</t>
  </si>
  <si>
    <t>6 box</t>
  </si>
  <si>
    <t>30 Doz</t>
  </si>
  <si>
    <t>48 Doz</t>
  </si>
  <si>
    <t>ECONOMY 100 STICK</t>
  </si>
  <si>
    <t>GLASS JAR SMUDGE CANDLE 185 GMS</t>
  </si>
  <si>
    <t>2 Doz</t>
  </si>
  <si>
    <t>GIFT PACK</t>
  </si>
  <si>
    <t>MASALA CONES</t>
  </si>
  <si>
    <t>POP TALL 25 GMS</t>
  </si>
  <si>
    <t>24 doz</t>
  </si>
  <si>
    <r>
      <t>PRECIOUS SOAPS</t>
    </r>
    <r>
      <rPr>
        <sz val="7"/>
        <color rgb="FF3D2020"/>
        <rFont val="Arial"/>
        <family val="2"/>
      </rPr>
      <t> </t>
    </r>
  </si>
  <si>
    <t>96 Pcs</t>
  </si>
  <si>
    <r>
      <t>RESIN</t>
    </r>
    <r>
      <rPr>
        <sz val="7"/>
        <color rgb="FF3D2020"/>
        <rFont val="Arial"/>
        <family val="2"/>
      </rPr>
      <t> </t>
    </r>
  </si>
  <si>
    <t>RESIN CUP DHOOP COLLECTION</t>
  </si>
  <si>
    <t>48 Box</t>
  </si>
  <si>
    <t>SACRED ELEMENT SPRAY &amp; YOG CHAKRA SPRAY</t>
  </si>
  <si>
    <t>SMUDGE TEA LIGHT FRAGRANCE CANDLE</t>
  </si>
  <si>
    <t>6 doz</t>
  </si>
  <si>
    <t>SMUDGE TIN CANDLE 90 GMS</t>
  </si>
  <si>
    <t>SQUARE</t>
  </si>
  <si>
    <t>TALL ECONOMY 100 GMS</t>
  </si>
  <si>
    <t>50 Box</t>
  </si>
  <si>
    <t>HEXA</t>
  </si>
  <si>
    <t>TALL HEXA</t>
  </si>
  <si>
    <t>10 Doz</t>
  </si>
  <si>
    <t>Smudge Organic Disc</t>
  </si>
  <si>
    <t>Smudge Balls</t>
  </si>
  <si>
    <t>WITCHCRAFT POUCH</t>
  </si>
  <si>
    <t>SCARED ELEMENTS MANIFESTATION INCENSE</t>
  </si>
  <si>
    <t>Affirmation Ritual Kit</t>
  </si>
  <si>
    <t>Sacred Elements Spiritual Series Masala 15gm</t>
  </si>
  <si>
    <t>Sacred Elements Dual Series Masala 15gm</t>
  </si>
  <si>
    <t>Sacred Element Room Spray</t>
  </si>
  <si>
    <t>SMUDGE CANDLE 185 GMS </t>
  </si>
  <si>
    <t>Sacred Element Organic Incense 10 Sticks </t>
  </si>
  <si>
    <t>Sacred Element Organic Incense 8 Sticks </t>
  </si>
  <si>
    <t>CONES SACRED ELEMENT ORGANIC </t>
  </si>
  <si>
    <t>Sacred Elements Jumbo 16 </t>
  </si>
  <si>
    <t>Balanced Living Incense Pouch </t>
  </si>
  <si>
    <t>Sacred Elements Catalogue</t>
  </si>
  <si>
    <t xml:space="preserve">12 Doz </t>
  </si>
  <si>
    <t xml:space="preserve"> 6 doz</t>
  </si>
  <si>
    <t>2 doz</t>
  </si>
  <si>
    <t>36 Doz</t>
  </si>
  <si>
    <t>20 pcs</t>
  </si>
  <si>
    <t>40pcs</t>
  </si>
  <si>
    <t>9 Doz</t>
  </si>
  <si>
    <t>4 Doz</t>
  </si>
  <si>
    <t>12 doz</t>
  </si>
  <si>
    <t>4 doz</t>
  </si>
  <si>
    <t>POOJA Catalogue</t>
  </si>
  <si>
    <t>HEM Catalogue</t>
  </si>
  <si>
    <t>Manifestation Candle</t>
  </si>
  <si>
    <r>
      <t>SMUDGE CANDLE 90 GMS</t>
    </r>
    <r>
      <rPr>
        <sz val="11"/>
        <color rgb="FF3D2020"/>
        <rFont val="Arial"/>
        <family val="2"/>
      </rPr>
      <t> </t>
    </r>
  </si>
  <si>
    <t>3 Doz</t>
  </si>
  <si>
    <t>Candle Catalogue</t>
  </si>
  <si>
    <t>PREMIUM MASALA INCENSE (Hexa 15Stik)</t>
  </si>
  <si>
    <r>
      <t>CAR FRESHENER</t>
    </r>
    <r>
      <rPr>
        <sz val="7"/>
        <color rgb="FF3D2020"/>
        <rFont val="Arial"/>
        <family val="2"/>
      </rPr>
      <t> </t>
    </r>
  </si>
  <si>
    <t>ENERGY CLEANSING KIT</t>
  </si>
  <si>
    <t>QATARI POWDER HEXA PACK</t>
  </si>
  <si>
    <t>7 CHAKRA STONE</t>
  </si>
  <si>
    <t>Default Packing</t>
  </si>
  <si>
    <t>20 Sticks in a packet, 6 packet in a box,                                        2 boxes make 1 Dozen, 25 dozen in 1 master carton</t>
  </si>
  <si>
    <r>
      <t>4 in 1 Assorted CONE</t>
    </r>
    <r>
      <rPr>
        <sz val="7"/>
        <color rgb="FF3D2020"/>
        <rFont val="Arial"/>
        <family val="2"/>
      </rPr>
      <t> </t>
    </r>
  </si>
  <si>
    <t>10 Sticks in a packet, 6 packets in a box,  2 boxes make 1 Dozen</t>
  </si>
  <si>
    <t>15 Sticks in a packet, 6 packet in a box,  2 boxes make 1 Dozen</t>
  </si>
  <si>
    <t>15 Grams in a packet, 12 Packs (1 dozen) in a box, 288 Packs (24 dozen) in a master carton</t>
  </si>
  <si>
    <t>Add this in Masala only</t>
  </si>
  <si>
    <t>15 gm in a packet, 6 assorated packets in one gift set, 48 gift set in one master carton.</t>
  </si>
  <si>
    <t xml:space="preserve">100 gm in a packet, 12 packet in 1 dozen,        24 dozen in 1 master carton </t>
  </si>
  <si>
    <t>7 Diffrenet types of Stones in one pack.
12 packs in 1 Outer Carton
6 Outer Cartons in one Master Carton</t>
  </si>
  <si>
    <t>5 Stick in a pouch,7 pouch in inner box,12 inner box in a outer box</t>
  </si>
  <si>
    <t>1 bootle of 10 ML , 12 (1 doz) x 10 ml bottle in 1 box, 144 (12 doz) x 10 ml bottle in 1 Master carton</t>
  </si>
  <si>
    <t>BACKFLOW CONES</t>
  </si>
  <si>
    <t>40 cones in one Pack 12 Packet in one box 6 Box in one master Carton</t>
  </si>
  <si>
    <t>12 pcs packed inside the display box.
8 display box packed inside master carton</t>
  </si>
  <si>
    <t>25 gm in a packet, 12 packets in 1 dozen    24 dozen in master carton</t>
  </si>
  <si>
    <t>30 GMS in a packet,1 dozen in a box</t>
  </si>
  <si>
    <t>10 Cones in a packet,12 Packets in box</t>
  </si>
  <si>
    <t>4 Dozen in a box,6 box in Master Carton</t>
  </si>
  <si>
    <t>100 stick in a packet,12 packets in a box(1 dozen)</t>
  </si>
  <si>
    <t>60 GMS in a packet,12 packet in a box</t>
  </si>
  <si>
    <t>14 stick in a pacekt,12 packet in a box</t>
  </si>
  <si>
    <t>185 gm scented tin smudge candle, wrapped with label sticker. Such 24 pcs packed inside master carton.</t>
  </si>
  <si>
    <r>
      <t>Soham DHOOP</t>
    </r>
    <r>
      <rPr>
        <sz val="11"/>
        <color rgb="FF3D2020"/>
        <rFont val="Aptos Display"/>
        <scheme val="major"/>
      </rPr>
      <t>  STICK</t>
    </r>
  </si>
  <si>
    <r>
      <t>DHOOP</t>
    </r>
    <r>
      <rPr>
        <sz val="11"/>
        <color rgb="FF3D2020"/>
        <rFont val="Aptos Display"/>
        <scheme val="major"/>
      </rPr>
      <t>    25 GMS</t>
    </r>
  </si>
  <si>
    <r>
      <t>DHOOP</t>
    </r>
    <r>
      <rPr>
        <sz val="11"/>
        <color rgb="FF3D2020"/>
        <rFont val="Aptos Display"/>
        <scheme val="major"/>
      </rPr>
      <t>   60 GRMS</t>
    </r>
  </si>
  <si>
    <t>25 GMS in a packet,12 packet in a box</t>
  </si>
  <si>
    <t>100 GMS</t>
  </si>
  <si>
    <t>48 pack contaning 10 pcs of Cup Dhoop each</t>
  </si>
  <si>
    <t>100 ML Bottle, 72 Bottles in Master Carton</t>
  </si>
  <si>
    <t>1 pack Contain - 10 pcs of Tea light Candles, 12 pcs packed in 1 Outer Carton, 6 Outer Cartons in 1 Master Carton</t>
  </si>
  <si>
    <t>90 gm scented tin smudge candle, wrapped with label sticker. Such 72 pcs packed inside master carton.</t>
  </si>
  <si>
    <t>8 Sticks in a packet,25 packet in a box</t>
  </si>
  <si>
    <t>100 GMS in a packet, 6 packets in a box</t>
  </si>
  <si>
    <t>7 CHAKRA HEXA GIFT PACK</t>
  </si>
  <si>
    <t>7 Packet in an outer packet</t>
  </si>
  <si>
    <t>48 pcs</t>
  </si>
  <si>
    <t>WHITE SAGE CLEANSING COLLECTION GIFT PACK</t>
  </si>
  <si>
    <t>48 sets</t>
  </si>
  <si>
    <t>6 assorated packets in one gift box, such 48 boxes packed inside master carton.</t>
  </si>
  <si>
    <t>YOG CHAKRA GIFT PACK</t>
  </si>
  <si>
    <t>Gift Pack Contain single pc of Yog Chakra 100ml room freshener, 
15gm Masala incense stick,
 Yog Chakra cone &amp;
 Wooden incense holder</t>
  </si>
  <si>
    <t>4 Disc in one pack- 2 doz in one inner corrogated box</t>
  </si>
  <si>
    <t>4 Balls in one pack - 2 doz in one inner corrogated box</t>
  </si>
  <si>
    <t>6 Pouches in one pack. 10  sticks in one pouch</t>
  </si>
  <si>
    <t>Paper hexa shape 50grams in a golden pouch with wooden spoon. 12 Hexa Qatari Incense Powder in one Display Box</t>
  </si>
  <si>
    <t>15 gms in one pack, 6 Fragrances  x 2 in one dispenser outer</t>
  </si>
  <si>
    <t>Manifestation candle 125 grms</t>
  </si>
  <si>
    <t xml:space="preserve">Glass Jar 125 grams Candle </t>
  </si>
  <si>
    <t>10 Sticks in one pack with Crystal and Cards with Affirmation. 1 doz in one Outer</t>
  </si>
  <si>
    <t>15 Grams in a packet,  12 Packs (1 dozen) in a box, 288 Packs (24 dozen) in a master carton</t>
  </si>
  <si>
    <t>Planned to be discontinued</t>
  </si>
  <si>
    <t>ENERGY CLEANSING KIT-  1) Palo Santo Room Spray. - 100ml , 2) Sacred Element - Organic Cones -5- 6 pcs 3) 3) Organic Resins -  10- 15 gsm 4) Organic Herbs -  25-30 gms. 5) Coal Tables for burning - 1 set 6. Terra clay</t>
  </si>
  <si>
    <t>Product - 10 Sticks in a pack, and 12 pack in one dispenser</t>
  </si>
  <si>
    <t>Product - 8 Sticks in a pack, and 12 pack in one dispenser</t>
  </si>
  <si>
    <t>3 sticks in a pack, 6 PACK in one dispenser</t>
  </si>
  <si>
    <t>5 cones in a pack.. 12 pack in one dispenser</t>
  </si>
  <si>
    <t>White Abhir, Gulal, Kumkum, Haldi, Camphor Tablets, Moli, Pooja Supari, Akhata, Agarbatti, Agarbatti Wooden Stand, Janvi Jod, Goddess Photo, Vastra (Pooja Cloth) &amp; Dhoop.</t>
  </si>
  <si>
    <t>Pooja Samagri Kit</t>
  </si>
  <si>
    <t>Aradhana Pooja Oil Pack 900ml</t>
  </si>
  <si>
    <t>1 Bottle x 900 ml, 20Pcs in 1 master carton</t>
  </si>
  <si>
    <t xml:space="preserve">Aradhana Pooja Oil Pack 450Ml </t>
  </si>
  <si>
    <t>1 Bottle x 450 ml, 40Pcs in 1 master carton</t>
  </si>
  <si>
    <t>HEM Aradhana Camphor - 100g</t>
  </si>
  <si>
    <t xml:space="preserve"> Camphor - 100g</t>
  </si>
  <si>
    <t>HEM Aradhana Bhimseni Camphor</t>
  </si>
  <si>
    <t>HEM Aradhana Pure Cow Ghee Diya 100 pcs</t>
  </si>
  <si>
    <t>100 pcs Diya in a box, 4 doz in 1 Master Carton</t>
  </si>
  <si>
    <t>HEM Aradhana Pure Ghee Diya 100 pcs</t>
  </si>
  <si>
    <t>HEM Aradhana Gangajal</t>
  </si>
  <si>
    <t>Gangajal, 24 pc in box</t>
  </si>
  <si>
    <t xml:space="preserve">Soham Sambrani Cup Dhoop </t>
  </si>
  <si>
    <t>12 pcs in 1 box, 12 dozen in 1 Master Carton</t>
  </si>
  <si>
    <t>Pama Sambrani Cup Dhoop</t>
  </si>
  <si>
    <t xml:space="preserve">Madhur Guggal Cup Dhhop </t>
  </si>
  <si>
    <t>12 pcs in 1 box, 4 dozen in 1 Master Carton</t>
  </si>
  <si>
    <t>1 pack Contain - 10 pcs of Tea light Candles.
12 pcs packed in 1 Outer Carton.
6 Outer Cartons in 1 Master Carton</t>
  </si>
  <si>
    <t>1 pack Contain -7 pcs of Tea light Candles.
12 pcs packed in 1 Outer Carton.
6 Outer Cartons in 1 Master Carton</t>
  </si>
  <si>
    <t xml:space="preserve">Spell Candle pack of 20 N </t>
  </si>
  <si>
    <t>Votive Shot Glass Candles 40G</t>
  </si>
  <si>
    <t>1 Candle = 40 gms,     48 Pcs (4 Dozen in 1 master carton)</t>
  </si>
  <si>
    <t>7 Chakra  Tea Light Fragrance  Candle</t>
  </si>
  <si>
    <t>GLASS JAR  CANDLE 185 GMS</t>
  </si>
  <si>
    <t>125 gms Scented Candle</t>
  </si>
  <si>
    <t xml:space="preserve">20 candles unsencted 
Extended Burn Time: Each 4-inch tall unscented candle burns continuously for up to 2 hours.
</t>
  </si>
  <si>
    <r>
      <t>Regular CONE</t>
    </r>
    <r>
      <rPr>
        <sz val="7"/>
        <color rgb="FF3D2020"/>
        <rFont val="Arial"/>
        <family val="2"/>
      </rPr>
      <t> </t>
    </r>
  </si>
  <si>
    <t>6 hexa pack in 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</si>
</sst>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0.000"/>
    <numFmt numFmtId="165" formatCode="_ * #,##0.000_ ;_ * \-#,##0.000_ ;_ * &quot;-&quot;??.00_ ;_ @_ "/>
    <numFmt numFmtId="166" formatCode="#,##0.000"/>
  </numFmts>
  <fonts count="39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color rgb="FF3D2020"/>
      <name val="Arial"/>
      <family val="2"/>
    </font>
    <font>
      <sz val="11"/>
      <color rgb="FF3D2020"/>
      <name val="Arial"/>
      <family val="2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1A0A0A"/>
      <name val="Arial"/>
      <family val="2"/>
    </font>
    <font>
      <sz val="8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3D2020"/>
      <name val="Aptos Display"/>
      <scheme val="major"/>
    </font>
    <font>
      <sz val="11"/>
      <color rgb="FF000000"/>
      <name val="Aptos Narrow"/>
      <family val="2"/>
      <scheme val="minor"/>
    </font>
    <font>
      <sz val="11"/>
      <color indexed="8"/>
      <name val="Aptos Narrow"/>
      <charset val="134"/>
      <scheme val="minor"/>
    </font>
    <font>
      <sz val="11"/>
      <color indexed="8"/>
      <name val="Calibri"/>
      <charset val="134"/>
    </font>
    <font>
      <b/>
      <sz val="12"/>
      <color indexed="8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33">
    <xf numFmtId="0" fontId="0" fillId="0" borderId="0"/>
    <xf numFmtId="0" fontId="3" fillId="0" borderId="0"/>
    <xf numFmtId="0" fontId="4" fillId="0" borderId="0">
      <alignment vertical="center"/>
    </xf>
    <xf numFmtId="0" fontId="4" fillId="0" borderId="0"/>
    <xf numFmtId="0" fontId="5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9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4" borderId="20" applyNumberFormat="0" applyAlignment="0" applyProtection="0"/>
    <xf numFmtId="0" fontId="9" fillId="13" borderId="68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9" fillId="13" borderId="12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9" fillId="13" borderId="88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28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10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19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9" fillId="13" borderId="92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9" fillId="13" borderId="80" applyNumberFormat="0" applyAlignment="0" applyProtection="0"/>
    <xf numFmtId="0" fontId="9" fillId="13" borderId="88" applyNumberForma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19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9" fillId="13" borderId="84" applyNumberFormat="0" applyAlignment="0" applyProtection="0"/>
    <xf numFmtId="0" fontId="9" fillId="13" borderId="92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19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16" fillId="4" borderId="44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88" applyNumberFormat="0" applyAlignment="0" applyProtection="0"/>
    <xf numFmtId="0" fontId="9" fillId="13" borderId="96" applyNumberFormat="0" applyAlignment="0" applyProtection="0"/>
    <xf numFmtId="0" fontId="16" fillId="4" borderId="48" applyNumberForma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19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0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19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104" applyNumberForma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19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92" applyNumberFormat="0" applyAlignment="0" applyProtection="0"/>
    <xf numFmtId="0" fontId="9" fillId="13" borderId="108" applyNumberForma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19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4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112" applyNumberForma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19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16" fillId="4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116" applyNumberForma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19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16" fillId="4" borderId="76" applyNumberFormat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2" applyNumberFormat="0" applyAlignment="0" applyProtection="0"/>
    <xf numFmtId="0" fontId="9" fillId="13" borderId="128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20" applyNumberForma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19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16" fillId="4" borderId="72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19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0" applyNumberFormat="0" applyAlignment="0" applyProtection="0"/>
    <xf numFmtId="0" fontId="9" fillId="13" borderId="120" applyNumberFormat="0" applyAlignment="0" applyProtection="0"/>
    <xf numFmtId="0" fontId="9" fillId="13" borderId="128" applyNumberForma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19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16" fillId="4" borderId="80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16" fillId="4" borderId="84" applyNumberForma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19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9" fillId="13" borderId="120" applyNumberForma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19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19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19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0" applyNumberFormat="0" applyAlignment="0" applyProtection="0"/>
    <xf numFmtId="0" fontId="9" fillId="13" borderId="132" applyNumberForma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19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16" fillId="4" borderId="100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19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12" applyNumberFormat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08" applyNumberForma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19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2" applyNumberForma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19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16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19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16" fillId="4" borderId="124" applyNumberFormat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19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19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32" applyNumberFormat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28" applyNumberForma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19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16" fillId="4" borderId="124" applyNumberForma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19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16" fillId="4" borderId="128" applyNumberForma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19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16" fillId="4" borderId="132" applyNumberFormat="0" applyAlignment="0" applyProtection="0"/>
    <xf numFmtId="0" fontId="16" fillId="4" borderId="124" applyNumberForma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19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19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19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19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19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34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1" fillId="2" borderId="1" xfId="0" applyNumberFormat="1" applyFont="1" applyFill="1" applyBorder="1" applyAlignment="1">
      <alignment horizontal="right" vertical="top" wrapText="1" indent="1"/>
    </xf>
    <xf numFmtId="2" fontId="1" fillId="2" borderId="1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left" vertical="top"/>
    </xf>
    <xf numFmtId="0" fontId="29" fillId="0" borderId="0" xfId="0" applyFont="1" applyAlignment="1">
      <alignment vertical="center"/>
    </xf>
    <xf numFmtId="0" fontId="1" fillId="25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right" vertical="top"/>
    </xf>
    <xf numFmtId="2" fontId="1" fillId="25" borderId="136" xfId="0" applyNumberFormat="1" applyFont="1" applyFill="1" applyBorder="1" applyAlignment="1">
      <alignment horizontal="right" vertical="top" wrapText="1"/>
    </xf>
    <xf numFmtId="2" fontId="1" fillId="25" borderId="136" xfId="0" applyNumberFormat="1" applyFont="1" applyFill="1" applyBorder="1" applyAlignment="1">
      <alignment horizontal="right" vertical="top" wrapText="1" indent="1"/>
    </xf>
    <xf numFmtId="0" fontId="1" fillId="2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left" vertical="top" wrapText="1"/>
    </xf>
    <xf numFmtId="0" fontId="28" fillId="0" borderId="135" xfId="0" applyFont="1" applyBorder="1"/>
    <xf numFmtId="0" fontId="0" fillId="0" borderId="135" xfId="0" applyBorder="1"/>
    <xf numFmtId="0" fontId="0" fillId="0" borderId="135" xfId="0" applyBorder="1" applyAlignment="1">
      <alignment horizontal="right"/>
    </xf>
    <xf numFmtId="2" fontId="0" fillId="0" borderId="135" xfId="0" applyNumberFormat="1" applyBorder="1"/>
    <xf numFmtId="0" fontId="1" fillId="2" borderId="135" xfId="0" applyFont="1" applyFill="1" applyBorder="1" applyAlignment="1">
      <alignment horizontal="right" vertical="top"/>
    </xf>
    <xf numFmtId="2" fontId="1" fillId="2" borderId="135" xfId="0" applyNumberFormat="1" applyFont="1" applyFill="1" applyBorder="1" applyAlignment="1">
      <alignment horizontal="right" vertical="top" wrapText="1"/>
    </xf>
    <xf numFmtId="2" fontId="1" fillId="2" borderId="135" xfId="0" applyNumberFormat="1" applyFont="1" applyFill="1" applyBorder="1" applyAlignment="1">
      <alignment horizontal="right" vertical="top" wrapText="1" indent="1"/>
    </xf>
    <xf numFmtId="0" fontId="0" fillId="0" borderId="135" xfId="0" applyBorder="1" applyAlignment="1">
      <alignment horizontal="left"/>
    </xf>
    <xf numFmtId="2" fontId="0" fillId="0" borderId="135" xfId="0" applyNumberFormat="1" applyBorder="1" applyAlignment="1">
      <alignment horizontal="right"/>
    </xf>
    <xf numFmtId="1" fontId="0" fillId="0" borderId="135" xfId="0" applyNumberFormat="1" applyBorder="1" applyAlignment="1">
      <alignment horizontal="right"/>
    </xf>
    <xf numFmtId="0" fontId="0" fillId="26" borderId="135" xfId="0" applyFill="1" applyBorder="1" applyAlignment="1">
      <alignment horizontal="right"/>
    </xf>
    <xf numFmtId="0" fontId="0" fillId="0" borderId="135" xfId="0" applyBorder="1" applyAlignment="1">
      <alignment horizontal="left" wrapText="1"/>
    </xf>
    <xf numFmtId="0" fontId="0" fillId="0" borderId="135" xfId="0" applyBorder="1" applyAlignment="1">
      <alignment horizontal="left" vertical="top"/>
    </xf>
    <xf numFmtId="0" fontId="0" fillId="0" borderId="135" xfId="0" applyBorder="1" applyAlignment="1">
      <alignment horizontal="left" vertical="top" wrapText="1"/>
    </xf>
    <xf numFmtId="0" fontId="0" fillId="0" borderId="135" xfId="0" applyBorder="1" applyAlignment="1">
      <alignment horizontal="right" vertical="top"/>
    </xf>
    <xf numFmtId="2" fontId="0" fillId="0" borderId="135" xfId="0" applyNumberFormat="1" applyBorder="1" applyAlignment="1">
      <alignment horizontal="right" vertical="top"/>
    </xf>
    <xf numFmtId="0" fontId="0" fillId="26" borderId="135" xfId="0" applyFill="1" applyBorder="1" applyAlignment="1">
      <alignment horizontal="left" vertical="top"/>
    </xf>
    <xf numFmtId="0" fontId="31" fillId="0" borderId="135" xfId="0" applyFont="1" applyBorder="1" applyAlignment="1">
      <alignment horizontal="left"/>
    </xf>
    <xf numFmtId="0" fontId="31" fillId="0" borderId="135" xfId="0" applyFont="1" applyBorder="1" applyAlignment="1">
      <alignment horizontal="right"/>
    </xf>
    <xf numFmtId="2" fontId="31" fillId="0" borderId="135" xfId="0" applyNumberFormat="1" applyFont="1" applyBorder="1" applyAlignment="1">
      <alignment horizontal="right"/>
    </xf>
    <xf numFmtId="0" fontId="31" fillId="26" borderId="135" xfId="0" applyFont="1" applyFill="1" applyBorder="1" applyAlignment="1">
      <alignment horizontal="left" vertical="top"/>
    </xf>
    <xf numFmtId="0" fontId="2" fillId="0" borderId="137" xfId="0" applyFont="1" applyBorder="1" applyAlignment="1">
      <alignment horizontal="center" vertical="center" wrapText="1"/>
    </xf>
    <xf numFmtId="0" fontId="2" fillId="0" borderId="138" xfId="0" applyFont="1" applyBorder="1" applyAlignment="1">
      <alignment horizontal="left" vertical="center" wrapText="1"/>
    </xf>
    <xf numFmtId="0" fontId="2" fillId="0" borderId="138" xfId="0" applyFont="1" applyBorder="1" applyAlignment="1">
      <alignment horizontal="center" vertical="center"/>
    </xf>
    <xf numFmtId="2" fontId="2" fillId="0" borderId="138" xfId="0" applyNumberFormat="1" applyFont="1" applyBorder="1" applyAlignment="1">
      <alignment horizontal="center" vertical="center"/>
    </xf>
    <xf numFmtId="164" fontId="2" fillId="0" borderId="138" xfId="0" applyNumberFormat="1" applyFont="1" applyBorder="1" applyAlignment="1">
      <alignment horizontal="center" vertical="center"/>
    </xf>
    <xf numFmtId="0" fontId="1" fillId="25" borderId="135" xfId="0" applyFont="1" applyFill="1" applyBorder="1" applyAlignment="1">
      <alignment horizontal="right" vertical="top"/>
    </xf>
    <xf numFmtId="2" fontId="1" fillId="25" borderId="135" xfId="0" applyNumberFormat="1" applyFont="1" applyFill="1" applyBorder="1" applyAlignment="1">
      <alignment horizontal="right" vertical="top" wrapText="1"/>
    </xf>
    <xf numFmtId="2" fontId="1" fillId="25" borderId="135" xfId="0" applyNumberFormat="1" applyFont="1" applyFill="1" applyBorder="1" applyAlignment="1">
      <alignment horizontal="right" vertical="top" wrapText="1" indent="1"/>
    </xf>
    <xf numFmtId="0" fontId="0" fillId="0" borderId="135" xfId="0" applyBorder="1" applyAlignment="1">
      <alignment wrapText="1"/>
    </xf>
    <xf numFmtId="0" fontId="2" fillId="0" borderId="135" xfId="0" applyFont="1" applyBorder="1" applyAlignment="1">
      <alignment horizontal="center" vertical="center" wrapText="1"/>
    </xf>
    <xf numFmtId="0" fontId="2" fillId="27" borderId="135" xfId="0" applyFont="1" applyFill="1" applyBorder="1" applyAlignment="1">
      <alignment horizontal="center" vertical="center" wrapText="1"/>
    </xf>
    <xf numFmtId="0" fontId="0" fillId="0" borderId="135" xfId="0" applyBorder="1" applyAlignment="1">
      <alignment horizontal="center" vertical="center" wrapText="1"/>
    </xf>
    <xf numFmtId="0" fontId="0" fillId="0" borderId="135" xfId="0" applyBorder="1" applyAlignment="1">
      <alignment horizontal="left" vertical="center" wrapText="1"/>
    </xf>
    <xf numFmtId="0" fontId="0" fillId="0" borderId="135" xfId="0" applyBorder="1" applyAlignment="1">
      <alignment horizontal="left" vertical="center"/>
    </xf>
    <xf numFmtId="2" fontId="0" fillId="0" borderId="135" xfId="0" applyNumberFormat="1" applyBorder="1" applyAlignment="1">
      <alignment horizontal="left"/>
    </xf>
    <xf numFmtId="0" fontId="33" fillId="0" borderId="135" xfId="0" applyFont="1" applyBorder="1" applyAlignment="1">
      <alignment horizontal="left" vertical="center" wrapText="1"/>
    </xf>
    <xf numFmtId="43" fontId="34" fillId="0" borderId="139" xfId="3030" applyFont="1" applyBorder="1" applyAlignment="1">
      <alignment horizontal="center" vertical="center"/>
    </xf>
    <xf numFmtId="165" fontId="34" fillId="0" borderId="0" xfId="3029" applyNumberFormat="1">
      <alignment vertical="center"/>
    </xf>
    <xf numFmtId="0" fontId="0" fillId="0" borderId="0" xfId="0" applyAlignment="1">
      <alignment wrapText="1"/>
    </xf>
    <xf numFmtId="0" fontId="36" fillId="26" borderId="139" xfId="3031" applyFont="1" applyFill="1" applyBorder="1" applyAlignment="1">
      <alignment horizontal="center"/>
    </xf>
    <xf numFmtId="0" fontId="37" fillId="26" borderId="139" xfId="3031" applyFont="1" applyFill="1" applyBorder="1" applyAlignment="1">
      <alignment horizontal="center"/>
    </xf>
    <xf numFmtId="0" fontId="0" fillId="27" borderId="135" xfId="0" applyFill="1" applyBorder="1" applyAlignment="1">
      <alignment horizontal="center" vertical="center" wrapText="1"/>
    </xf>
    <xf numFmtId="0" fontId="31" fillId="0" borderId="135" xfId="0" applyFont="1" applyBorder="1" applyAlignment="1">
      <alignment horizontal="left" vertical="top" wrapText="1"/>
    </xf>
    <xf numFmtId="0" fontId="36" fillId="26" borderId="139" xfId="3031" applyFont="1" applyFill="1" applyBorder="1" applyAlignment="1">
      <alignment horizontal="center"/>
    </xf>
    <xf numFmtId="0" fontId="37" fillId="26" borderId="139" xfId="3031" applyFont="1" applyFill="1" applyBorder="1" applyAlignment="1">
      <alignment horizontal="center"/>
    </xf>
    <xf numFmtId="0" fontId="36" fillId="27" borderId="139" xfId="3031" applyFont="1" applyFill="1" applyBorder="1" applyAlignment="1">
      <alignment horizontal="center"/>
    </xf>
    <xf numFmtId="0" fontId="37" fillId="27" borderId="139" xfId="3031" applyFont="1" applyFill="1" applyBorder="1" applyAlignment="1">
      <alignment horizontal="center"/>
    </xf>
    <xf numFmtId="0" fontId="36" fillId="27" borderId="139" xfId="3031" applyFont="1" applyFill="1" applyBorder="1" applyAlignment="1">
      <alignment horizontal="center"/>
    </xf>
    <xf numFmtId="0" fontId="38" fillId="0" borderId="139" xfId="3031" applyFont="1" applyBorder="1" applyAlignment="1">
      <alignment horizontal="center" vertical="center"/>
    </xf>
    <xf numFmtId="0" fontId="36" fillId="27" borderId="139" xfId="3031" applyFont="1" applyFill="1" applyBorder="1" applyAlignment="1">
      <alignment horizontal="center"/>
    </xf>
    <xf numFmtId="0" fontId="37" fillId="27" borderId="139" xfId="3031" applyFont="1" applyFill="1" applyBorder="1" applyAlignment="1">
      <alignment horizontal="center"/>
    </xf>
    <xf numFmtId="0" fontId="36" fillId="27" borderId="139" xfId="3031" applyFont="1" applyFill="1" applyBorder="1" applyAlignment="1">
      <alignment horizontal="center"/>
    </xf>
    <xf numFmtId="166" fontId="37" fillId="27" borderId="139" xfId="3031" applyNumberFormat="1" applyFont="1" applyFill="1" applyBorder="1" applyAlignment="1">
      <alignment horizontal="center"/>
    </xf>
  </cellXfs>
  <cellStyles count="3033">
    <cellStyle name="20% - Accent1 10" xfId="5"/>
    <cellStyle name="20% - Accent1 11" xfId="6"/>
    <cellStyle name="20% - Accent1 12" xfId="7"/>
    <cellStyle name="20% - Accent1 13" xfId="8"/>
    <cellStyle name="20% - Accent1 14" xfId="9"/>
    <cellStyle name="20% - Accent1 15" xfId="10"/>
    <cellStyle name="20% - Accent1 16" xfId="11"/>
    <cellStyle name="20% - Accent1 2" xfId="12"/>
    <cellStyle name="20% - Accent1 3" xfId="13"/>
    <cellStyle name="20% - Accent1 4" xfId="14"/>
    <cellStyle name="20% - Accent1 5" xfId="15"/>
    <cellStyle name="20% - Accent1 6" xfId="16"/>
    <cellStyle name="20% - Accent1 7" xfId="17"/>
    <cellStyle name="20% - Accent1 8" xfId="18"/>
    <cellStyle name="20% - Accent1 9" xfId="19"/>
    <cellStyle name="20% - Accent2 10" xfId="20"/>
    <cellStyle name="20% - Accent2 11" xfId="21"/>
    <cellStyle name="20% - Accent2 12" xfId="22"/>
    <cellStyle name="20% - Accent2 13" xfId="23"/>
    <cellStyle name="20% - Accent2 14" xfId="24"/>
    <cellStyle name="20% - Accent2 15" xfId="25"/>
    <cellStyle name="20% - Accent2 16" xfId="26"/>
    <cellStyle name="20% - Accent2 2" xfId="27"/>
    <cellStyle name="20% - Accent2 3" xfId="28"/>
    <cellStyle name="20% - Accent2 4" xfId="29"/>
    <cellStyle name="20% - Accent2 5" xfId="30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2" xfId="42"/>
    <cellStyle name="20% - Accent3 3" xfId="43"/>
    <cellStyle name="20% - Accent3 4" xfId="44"/>
    <cellStyle name="20% - Accent3 5" xfId="45"/>
    <cellStyle name="20% - Accent3 6" xfId="46"/>
    <cellStyle name="20% - Accent3 7" xfId="47"/>
    <cellStyle name="20% - Accent3 8" xfId="48"/>
    <cellStyle name="20% - Accent3 9" xfId="49"/>
    <cellStyle name="20% - Accent4 10" xfId="50"/>
    <cellStyle name="20% - Accent4 11" xfId="51"/>
    <cellStyle name="20% - Accent4 12" xfId="52"/>
    <cellStyle name="20% - Accent4 13" xfId="53"/>
    <cellStyle name="20% - Accent4 14" xfId="54"/>
    <cellStyle name="20% - Accent4 15" xfId="55"/>
    <cellStyle name="20% - Accent4 16" xfId="56"/>
    <cellStyle name="20% - Accent4 2" xfId="57"/>
    <cellStyle name="20% - Accent4 3" xfId="58"/>
    <cellStyle name="20% - Accent4 4" xfId="59"/>
    <cellStyle name="20% - Accent4 5" xfId="60"/>
    <cellStyle name="20% - Accent4 6" xfId="61"/>
    <cellStyle name="20% - Accent4 7" xfId="62"/>
    <cellStyle name="20% - Accent4 8" xfId="63"/>
    <cellStyle name="20% - Accent4 9" xfId="64"/>
    <cellStyle name="20% - Accent5 10" xfId="65"/>
    <cellStyle name="20% - Accent5 11" xfId="66"/>
    <cellStyle name="20% - Accent5 12" xfId="67"/>
    <cellStyle name="20% - Accent5 13" xfId="68"/>
    <cellStyle name="20% - Accent5 14" xfId="69"/>
    <cellStyle name="20% - Accent5 15" xfId="70"/>
    <cellStyle name="20% - Accent5 16" xfId="71"/>
    <cellStyle name="20% - Accent5 2" xfId="72"/>
    <cellStyle name="20% - Accent5 3" xfId="73"/>
    <cellStyle name="20% - Accent5 4" xfId="74"/>
    <cellStyle name="20% - Accent5 5" xfId="75"/>
    <cellStyle name="20% - Accent5 6" xfId="76"/>
    <cellStyle name="20% - Accent5 7" xfId="77"/>
    <cellStyle name="20% - Accent5 8" xfId="78"/>
    <cellStyle name="20% - Accent5 9" xfId="79"/>
    <cellStyle name="20% - Accent6 10" xfId="80"/>
    <cellStyle name="20% - Accent6 11" xfId="81"/>
    <cellStyle name="20% - Accent6 12" xfId="82"/>
    <cellStyle name="20% - Accent6 13" xfId="83"/>
    <cellStyle name="20% - Accent6 14" xfId="84"/>
    <cellStyle name="20% - Accent6 15" xfId="85"/>
    <cellStyle name="20% - Accent6 16" xfId="86"/>
    <cellStyle name="20% - Accent6 2" xfId="87"/>
    <cellStyle name="20% - Accent6 3" xfId="88"/>
    <cellStyle name="20% - Accent6 4" xfId="89"/>
    <cellStyle name="20% - Accent6 5" xfId="90"/>
    <cellStyle name="20% - Accent6 6" xfId="91"/>
    <cellStyle name="20% - Accent6 7" xfId="92"/>
    <cellStyle name="20% - Accent6 8" xfId="93"/>
    <cellStyle name="20% - Accent6 9" xfId="94"/>
    <cellStyle name="40% - Accent1 10" xfId="95"/>
    <cellStyle name="40% - Accent1 11" xfId="96"/>
    <cellStyle name="40% - Accent1 12" xfId="97"/>
    <cellStyle name="40% - Accent1 13" xfId="98"/>
    <cellStyle name="40% - Accent1 14" xfId="99"/>
    <cellStyle name="40% - Accent1 15" xfId="100"/>
    <cellStyle name="40% - Accent1 16" xfId="101"/>
    <cellStyle name="40% - Accent1 2" xfId="102"/>
    <cellStyle name="40% - Accent1 3" xfId="103"/>
    <cellStyle name="40% - Accent1 4" xfId="104"/>
    <cellStyle name="40% - Accent1 5" xfId="105"/>
    <cellStyle name="40% - Accent1 6" xfId="106"/>
    <cellStyle name="40% - Accent1 7" xfId="107"/>
    <cellStyle name="40% - Accent1 8" xfId="108"/>
    <cellStyle name="40% - Accent1 9" xfId="109"/>
    <cellStyle name="40% - Accent2 10" xfId="110"/>
    <cellStyle name="40% - Accent2 11" xfId="111"/>
    <cellStyle name="40% - Accent2 12" xfId="112"/>
    <cellStyle name="40% - Accent2 13" xfId="113"/>
    <cellStyle name="40% - Accent2 14" xfId="114"/>
    <cellStyle name="40% - Accent2 15" xfId="115"/>
    <cellStyle name="40% - Accent2 16" xfId="116"/>
    <cellStyle name="40% - Accent2 2" xfId="117"/>
    <cellStyle name="40% - Accent2 3" xfId="118"/>
    <cellStyle name="40% - Accent2 4" xfId="119"/>
    <cellStyle name="40% - Accent2 5" xfId="120"/>
    <cellStyle name="40% - Accent2 6" xfId="121"/>
    <cellStyle name="40% - Accent2 7" xfId="122"/>
    <cellStyle name="40% - Accent2 8" xfId="123"/>
    <cellStyle name="40% - Accent2 9" xfId="124"/>
    <cellStyle name="40% - Accent3 10" xfId="125"/>
    <cellStyle name="40% - Accent3 11" xfId="126"/>
    <cellStyle name="40% - Accent3 12" xfId="127"/>
    <cellStyle name="40% - Accent3 13" xfId="128"/>
    <cellStyle name="40% - Accent3 14" xfId="129"/>
    <cellStyle name="40% - Accent3 15" xfId="130"/>
    <cellStyle name="40% - Accent3 16" xfId="131"/>
    <cellStyle name="40% - Accent3 2" xfId="132"/>
    <cellStyle name="40% - Accent3 3" xfId="133"/>
    <cellStyle name="40% - Accent3 4" xfId="134"/>
    <cellStyle name="40% - Accent3 5" xfId="135"/>
    <cellStyle name="40% - Accent3 6" xfId="136"/>
    <cellStyle name="40% - Accent3 7" xfId="137"/>
    <cellStyle name="40% - Accent3 8" xfId="138"/>
    <cellStyle name="40% - Accent3 9" xfId="139"/>
    <cellStyle name="40% - Accent4 10" xfId="140"/>
    <cellStyle name="40% - Accent4 11" xfId="141"/>
    <cellStyle name="40% - Accent4 12" xfId="142"/>
    <cellStyle name="40% - Accent4 13" xfId="143"/>
    <cellStyle name="40% - Accent4 14" xfId="144"/>
    <cellStyle name="40% - Accent4 15" xfId="145"/>
    <cellStyle name="40% - Accent4 16" xfId="146"/>
    <cellStyle name="40% - Accent4 2" xfId="147"/>
    <cellStyle name="40% - Accent4 3" xfId="148"/>
    <cellStyle name="40% - Accent4 4" xfId="149"/>
    <cellStyle name="40% - Accent4 5" xfId="150"/>
    <cellStyle name="40% - Accent4 6" xfId="151"/>
    <cellStyle name="40% - Accent4 7" xfId="152"/>
    <cellStyle name="40% - Accent4 8" xfId="153"/>
    <cellStyle name="40% - Accent4 9" xfId="154"/>
    <cellStyle name="40% - Accent5 10" xfId="155"/>
    <cellStyle name="40% - Accent5 11" xfId="156"/>
    <cellStyle name="40% - Accent5 12" xfId="157"/>
    <cellStyle name="40% - Accent5 13" xfId="158"/>
    <cellStyle name="40% - Accent5 14" xfId="159"/>
    <cellStyle name="40% - Accent5 15" xfId="160"/>
    <cellStyle name="40% - Accent5 16" xfId="161"/>
    <cellStyle name="40% - Accent5 2" xfId="162"/>
    <cellStyle name="40% - Accent5 3" xfId="163"/>
    <cellStyle name="40% - Accent5 4" xfId="164"/>
    <cellStyle name="40% - Accent5 5" xfId="165"/>
    <cellStyle name="40% - Accent5 6" xfId="166"/>
    <cellStyle name="40% - Accent5 7" xfId="167"/>
    <cellStyle name="40% - Accent5 8" xfId="168"/>
    <cellStyle name="40% - Accent5 9" xfId="169"/>
    <cellStyle name="40% - Accent6 10" xfId="170"/>
    <cellStyle name="40% - Accent6 11" xfId="171"/>
    <cellStyle name="40% - Accent6 12" xfId="172"/>
    <cellStyle name="40% - Accent6 13" xfId="173"/>
    <cellStyle name="40% - Accent6 14" xfId="174"/>
    <cellStyle name="40% - Accent6 15" xfId="175"/>
    <cellStyle name="40% - Accent6 16" xfId="176"/>
    <cellStyle name="40% - Accent6 2" xfId="177"/>
    <cellStyle name="40% - Accent6 3" xfId="178"/>
    <cellStyle name="40% - Accent6 4" xfId="179"/>
    <cellStyle name="40% - Accent6 5" xfId="180"/>
    <cellStyle name="40% - Accent6 6" xfId="181"/>
    <cellStyle name="40% - Accent6 7" xfId="182"/>
    <cellStyle name="40% - Accent6 8" xfId="183"/>
    <cellStyle name="40% - Accent6 9" xfId="184"/>
    <cellStyle name="60% - Accent1 10" xfId="185"/>
    <cellStyle name="60% - Accent1 11" xfId="186"/>
    <cellStyle name="60% - Accent1 12" xfId="187"/>
    <cellStyle name="60% - Accent1 13" xfId="188"/>
    <cellStyle name="60% - Accent1 14" xfId="189"/>
    <cellStyle name="60% - Accent1 15" xfId="190"/>
    <cellStyle name="60% - Accent1 16" xfId="191"/>
    <cellStyle name="60% - Accent1 2" xfId="192"/>
    <cellStyle name="60% - Accent1 3" xfId="193"/>
    <cellStyle name="60% - Accent1 4" xfId="194"/>
    <cellStyle name="60% - Accent1 5" xfId="195"/>
    <cellStyle name="60% - Accent1 6" xfId="196"/>
    <cellStyle name="60% - Accent1 7" xfId="197"/>
    <cellStyle name="60% - Accent1 8" xfId="198"/>
    <cellStyle name="60% - Accent1 9" xfId="199"/>
    <cellStyle name="60% - Accent2 10" xfId="200"/>
    <cellStyle name="60% - Accent2 11" xfId="201"/>
    <cellStyle name="60% - Accent2 12" xfId="202"/>
    <cellStyle name="60% - Accent2 13" xfId="203"/>
    <cellStyle name="60% - Accent2 14" xfId="204"/>
    <cellStyle name="60% - Accent2 15" xfId="205"/>
    <cellStyle name="60% - Accent2 16" xfId="206"/>
    <cellStyle name="60% - Accent2 2" xfId="207"/>
    <cellStyle name="60% - Accent2 3" xfId="208"/>
    <cellStyle name="60% - Accent2 4" xfId="209"/>
    <cellStyle name="60% - Accent2 5" xfId="210"/>
    <cellStyle name="60% - Accent2 6" xfId="211"/>
    <cellStyle name="60% - Accent2 7" xfId="212"/>
    <cellStyle name="60% - Accent2 8" xfId="213"/>
    <cellStyle name="60% - Accent2 9" xfId="214"/>
    <cellStyle name="60% - Accent3 10" xfId="215"/>
    <cellStyle name="60% - Accent3 11" xfId="216"/>
    <cellStyle name="60% - Accent3 12" xfId="217"/>
    <cellStyle name="60% - Accent3 13" xfId="218"/>
    <cellStyle name="60% - Accent3 14" xfId="219"/>
    <cellStyle name="60% - Accent3 15" xfId="220"/>
    <cellStyle name="60% - Accent3 16" xfId="221"/>
    <cellStyle name="60% - Accent3 2" xfId="222"/>
    <cellStyle name="60% - Accent3 3" xfId="223"/>
    <cellStyle name="60% - Accent3 4" xfId="224"/>
    <cellStyle name="60% - Accent3 5" xfId="225"/>
    <cellStyle name="60% - Accent3 6" xfId="226"/>
    <cellStyle name="60% - Accent3 7" xfId="227"/>
    <cellStyle name="60% - Accent3 8" xfId="228"/>
    <cellStyle name="60% - Accent3 9" xfId="229"/>
    <cellStyle name="60% - Accent4 10" xfId="230"/>
    <cellStyle name="60% - Accent4 11" xfId="231"/>
    <cellStyle name="60% - Accent4 12" xfId="232"/>
    <cellStyle name="60% - Accent4 13" xfId="233"/>
    <cellStyle name="60% - Accent4 14" xfId="234"/>
    <cellStyle name="60% - Accent4 15" xfId="235"/>
    <cellStyle name="60% - Accent4 16" xfId="236"/>
    <cellStyle name="60% - Accent4 2" xfId="237"/>
    <cellStyle name="60% - Accent4 3" xfId="238"/>
    <cellStyle name="60% - Accent4 4" xfId="239"/>
    <cellStyle name="60% - Accent4 5" xfId="240"/>
    <cellStyle name="60% - Accent4 6" xfId="241"/>
    <cellStyle name="60% - Accent4 7" xfId="242"/>
    <cellStyle name="60% - Accent4 8" xfId="243"/>
    <cellStyle name="60% - Accent4 9" xfId="244"/>
    <cellStyle name="60% - Accent5 10" xfId="245"/>
    <cellStyle name="60% - Accent5 11" xfId="246"/>
    <cellStyle name="60% - Accent5 12" xfId="247"/>
    <cellStyle name="60% - Accent5 13" xfId="248"/>
    <cellStyle name="60% - Accent5 14" xfId="249"/>
    <cellStyle name="60% - Accent5 15" xfId="250"/>
    <cellStyle name="60% - Accent5 16" xfId="251"/>
    <cellStyle name="60% - Accent5 2" xfId="252"/>
    <cellStyle name="60% - Accent5 3" xfId="253"/>
    <cellStyle name="60% - Accent5 4" xfId="254"/>
    <cellStyle name="60% - Accent5 5" xfId="255"/>
    <cellStyle name="60% - Accent5 6" xfId="256"/>
    <cellStyle name="60% - Accent5 7" xfId="257"/>
    <cellStyle name="60% - Accent5 8" xfId="258"/>
    <cellStyle name="60% - Accent5 9" xfId="259"/>
    <cellStyle name="60% - Accent6 10" xfId="260"/>
    <cellStyle name="60% - Accent6 11" xfId="261"/>
    <cellStyle name="60% - Accent6 12" xfId="262"/>
    <cellStyle name="60% - Accent6 13" xfId="263"/>
    <cellStyle name="60% - Accent6 14" xfId="264"/>
    <cellStyle name="60% - Accent6 15" xfId="265"/>
    <cellStyle name="60% - Accent6 16" xfId="266"/>
    <cellStyle name="60% - Accent6 2" xfId="267"/>
    <cellStyle name="60% - Accent6 3" xfId="268"/>
    <cellStyle name="60% - Accent6 4" xfId="269"/>
    <cellStyle name="60% - Accent6 5" xfId="270"/>
    <cellStyle name="60% - Accent6 6" xfId="271"/>
    <cellStyle name="60% - Accent6 7" xfId="272"/>
    <cellStyle name="60% - Accent6 8" xfId="273"/>
    <cellStyle name="60% - Accent6 9" xfId="274"/>
    <cellStyle name="Accent1 10" xfId="275"/>
    <cellStyle name="Accent1 11" xfId="276"/>
    <cellStyle name="Accent1 12" xfId="277"/>
    <cellStyle name="Accent1 13" xfId="278"/>
    <cellStyle name="Accent1 14" xfId="279"/>
    <cellStyle name="Accent1 15" xfId="280"/>
    <cellStyle name="Accent1 16" xfId="281"/>
    <cellStyle name="Accent1 2" xfId="282"/>
    <cellStyle name="Accent1 3" xfId="283"/>
    <cellStyle name="Accent1 4" xfId="284"/>
    <cellStyle name="Accent1 5" xfId="285"/>
    <cellStyle name="Accent1 6" xfId="286"/>
    <cellStyle name="Accent1 7" xfId="287"/>
    <cellStyle name="Accent1 8" xfId="288"/>
    <cellStyle name="Accent1 9" xfId="289"/>
    <cellStyle name="Accent2 10" xfId="290"/>
    <cellStyle name="Accent2 11" xfId="291"/>
    <cellStyle name="Accent2 12" xfId="292"/>
    <cellStyle name="Accent2 13" xfId="293"/>
    <cellStyle name="Accent2 14" xfId="294"/>
    <cellStyle name="Accent2 15" xfId="295"/>
    <cellStyle name="Accent2 16" xfId="296"/>
    <cellStyle name="Accent2 2" xfId="297"/>
    <cellStyle name="Accent2 3" xfId="298"/>
    <cellStyle name="Accent2 4" xfId="299"/>
    <cellStyle name="Accent2 5" xfId="300"/>
    <cellStyle name="Accent2 6" xfId="301"/>
    <cellStyle name="Accent2 7" xfId="302"/>
    <cellStyle name="Accent2 8" xfId="303"/>
    <cellStyle name="Accent2 9" xfId="304"/>
    <cellStyle name="Accent3 10" xfId="305"/>
    <cellStyle name="Accent3 11" xfId="306"/>
    <cellStyle name="Accent3 12" xfId="307"/>
    <cellStyle name="Accent3 13" xfId="308"/>
    <cellStyle name="Accent3 14" xfId="309"/>
    <cellStyle name="Accent3 15" xfId="310"/>
    <cellStyle name="Accent3 16" xfId="311"/>
    <cellStyle name="Accent3 2" xfId="312"/>
    <cellStyle name="Accent3 3" xfId="313"/>
    <cellStyle name="Accent3 4" xfId="314"/>
    <cellStyle name="Accent3 5" xfId="315"/>
    <cellStyle name="Accent3 6" xfId="316"/>
    <cellStyle name="Accent3 7" xfId="317"/>
    <cellStyle name="Accent3 8" xfId="318"/>
    <cellStyle name="Accent3 9" xfId="319"/>
    <cellStyle name="Accent4 10" xfId="320"/>
    <cellStyle name="Accent4 11" xfId="321"/>
    <cellStyle name="Accent4 12" xfId="322"/>
    <cellStyle name="Accent4 13" xfId="323"/>
    <cellStyle name="Accent4 14" xfId="324"/>
    <cellStyle name="Accent4 15" xfId="325"/>
    <cellStyle name="Accent4 16" xfId="326"/>
    <cellStyle name="Accent4 2" xfId="327"/>
    <cellStyle name="Accent4 3" xfId="328"/>
    <cellStyle name="Accent4 4" xfId="329"/>
    <cellStyle name="Accent4 5" xfId="330"/>
    <cellStyle name="Accent4 6" xfId="331"/>
    <cellStyle name="Accent4 7" xfId="332"/>
    <cellStyle name="Accent4 8" xfId="333"/>
    <cellStyle name="Accent4 9" xfId="334"/>
    <cellStyle name="Accent5 10" xfId="335"/>
    <cellStyle name="Accent5 11" xfId="336"/>
    <cellStyle name="Accent5 12" xfId="337"/>
    <cellStyle name="Accent5 13" xfId="338"/>
    <cellStyle name="Accent5 14" xfId="339"/>
    <cellStyle name="Accent5 15" xfId="340"/>
    <cellStyle name="Accent5 16" xfId="341"/>
    <cellStyle name="Accent5 2" xfId="342"/>
    <cellStyle name="Accent5 3" xfId="343"/>
    <cellStyle name="Accent5 4" xfId="344"/>
    <cellStyle name="Accent5 5" xfId="345"/>
    <cellStyle name="Accent5 6" xfId="346"/>
    <cellStyle name="Accent5 7" xfId="347"/>
    <cellStyle name="Accent5 8" xfId="348"/>
    <cellStyle name="Accent5 9" xfId="349"/>
    <cellStyle name="Accent6 10" xfId="350"/>
    <cellStyle name="Accent6 11" xfId="351"/>
    <cellStyle name="Accent6 12" xfId="352"/>
    <cellStyle name="Accent6 13" xfId="353"/>
    <cellStyle name="Accent6 14" xfId="354"/>
    <cellStyle name="Accent6 15" xfId="355"/>
    <cellStyle name="Accent6 16" xfId="356"/>
    <cellStyle name="Accent6 2" xfId="357"/>
    <cellStyle name="Accent6 3" xfId="358"/>
    <cellStyle name="Accent6 4" xfId="359"/>
    <cellStyle name="Accent6 5" xfId="360"/>
    <cellStyle name="Accent6 6" xfId="361"/>
    <cellStyle name="Accent6 7" xfId="362"/>
    <cellStyle name="Accent6 8" xfId="363"/>
    <cellStyle name="Accent6 9" xfId="364"/>
    <cellStyle name="Bad 10" xfId="365"/>
    <cellStyle name="Bad 11" xfId="366"/>
    <cellStyle name="Bad 12" xfId="367"/>
    <cellStyle name="Bad 13" xfId="368"/>
    <cellStyle name="Bad 14" xfId="369"/>
    <cellStyle name="Bad 15" xfId="370"/>
    <cellStyle name="Bad 16" xfId="371"/>
    <cellStyle name="Bad 2" xfId="372"/>
    <cellStyle name="Bad 3" xfId="373"/>
    <cellStyle name="Bad 4" xfId="374"/>
    <cellStyle name="Bad 5" xfId="375"/>
    <cellStyle name="Bad 6" xfId="376"/>
    <cellStyle name="Bad 7" xfId="377"/>
    <cellStyle name="Bad 8" xfId="378"/>
    <cellStyle name="Bad 9" xfId="379"/>
    <cellStyle name="Calculation 10" xfId="380"/>
    <cellStyle name="Calculation 10 10" xfId="955"/>
    <cellStyle name="Calculation 10 11" xfId="830"/>
    <cellStyle name="Calculation 10 12" xfId="970"/>
    <cellStyle name="Calculation 10 13" xfId="815"/>
    <cellStyle name="Calculation 10 14" xfId="986"/>
    <cellStyle name="Calculation 10 15" xfId="891"/>
    <cellStyle name="Calculation 10 16" xfId="1001"/>
    <cellStyle name="Calculation 10 17" xfId="786"/>
    <cellStyle name="Calculation 10 18" xfId="1030"/>
    <cellStyle name="Calculation 10 19" xfId="771"/>
    <cellStyle name="Calculation 10 2" xfId="895"/>
    <cellStyle name="Calculation 10 20" xfId="1254"/>
    <cellStyle name="Calculation 10 21" xfId="742"/>
    <cellStyle name="Calculation 10 22" xfId="1086"/>
    <cellStyle name="Calculation 10 23" xfId="1484"/>
    <cellStyle name="Calculation 10 24" xfId="985"/>
    <cellStyle name="Calculation 10 25" xfId="1635"/>
    <cellStyle name="Calculation 10 26" xfId="1709"/>
    <cellStyle name="Calculation 10 27" xfId="1785"/>
    <cellStyle name="Calculation 10 28" xfId="1850"/>
    <cellStyle name="Calculation 10 29" xfId="1914"/>
    <cellStyle name="Calculation 10 3" xfId="888"/>
    <cellStyle name="Calculation 10 30" xfId="1707"/>
    <cellStyle name="Calculation 10 31" xfId="894"/>
    <cellStyle name="Calculation 10 32" xfId="1848"/>
    <cellStyle name="Calculation 10 4" xfId="911"/>
    <cellStyle name="Calculation 10 5" xfId="890"/>
    <cellStyle name="Calculation 10 6" xfId="910"/>
    <cellStyle name="Calculation 10 7" xfId="860"/>
    <cellStyle name="Calculation 10 8" xfId="940"/>
    <cellStyle name="Calculation 10 9" xfId="845"/>
    <cellStyle name="Calculation 11" xfId="381"/>
    <cellStyle name="Calculation 11 10" xfId="956"/>
    <cellStyle name="Calculation 11 11" xfId="829"/>
    <cellStyle name="Calculation 11 12" xfId="971"/>
    <cellStyle name="Calculation 11 13" xfId="814"/>
    <cellStyle name="Calculation 11 14" xfId="987"/>
    <cellStyle name="Calculation 11 15" xfId="800"/>
    <cellStyle name="Calculation 11 16" xfId="1002"/>
    <cellStyle name="Calculation 11 17" xfId="785"/>
    <cellStyle name="Calculation 11 18" xfId="1031"/>
    <cellStyle name="Calculation 11 19" xfId="770"/>
    <cellStyle name="Calculation 11 2" xfId="896"/>
    <cellStyle name="Calculation 11 20" xfId="1059"/>
    <cellStyle name="Calculation 11 21" xfId="1332"/>
    <cellStyle name="Calculation 11 22" xfId="1255"/>
    <cellStyle name="Calculation 11 23" xfId="699"/>
    <cellStyle name="Calculation 11 24" xfId="673"/>
    <cellStyle name="Calculation 11 25" xfId="1214"/>
    <cellStyle name="Calculation 11 26" xfId="1291"/>
    <cellStyle name="Calculation 11 27" xfId="1368"/>
    <cellStyle name="Calculation 11 28" xfId="1444"/>
    <cellStyle name="Calculation 11 29" xfId="1519"/>
    <cellStyle name="Calculation 11 3" xfId="887"/>
    <cellStyle name="Calculation 11 30" xfId="1596"/>
    <cellStyle name="Calculation 11 31" xfId="893"/>
    <cellStyle name="Calculation 11 32" xfId="1746"/>
    <cellStyle name="Calculation 11 4" xfId="912"/>
    <cellStyle name="Calculation 11 5" xfId="889"/>
    <cellStyle name="Calculation 11 6" xfId="926"/>
    <cellStyle name="Calculation 11 7" xfId="859"/>
    <cellStyle name="Calculation 11 8" xfId="941"/>
    <cellStyle name="Calculation 11 9" xfId="844"/>
    <cellStyle name="Calculation 12" xfId="382"/>
    <cellStyle name="Calculation 12 10" xfId="957"/>
    <cellStyle name="Calculation 12 11" xfId="828"/>
    <cellStyle name="Calculation 12 12" xfId="972"/>
    <cellStyle name="Calculation 12 13" xfId="813"/>
    <cellStyle name="Calculation 12 14" xfId="988"/>
    <cellStyle name="Calculation 12 15" xfId="799"/>
    <cellStyle name="Calculation 12 16" xfId="1003"/>
    <cellStyle name="Calculation 12 17" xfId="784"/>
    <cellStyle name="Calculation 12 18" xfId="1032"/>
    <cellStyle name="Calculation 12 19" xfId="769"/>
    <cellStyle name="Calculation 12 2" xfId="897"/>
    <cellStyle name="Calculation 12 20" xfId="1060"/>
    <cellStyle name="Calculation 12 21" xfId="726"/>
    <cellStyle name="Calculation 12 22" xfId="1087"/>
    <cellStyle name="Calculation 12 23" xfId="1333"/>
    <cellStyle name="Calculation 12 24" xfId="1410"/>
    <cellStyle name="Calculation 12 25" xfId="1485"/>
    <cellStyle name="Calculation 12 26" xfId="1561"/>
    <cellStyle name="Calculation 12 27" xfId="1636"/>
    <cellStyle name="Calculation 12 28" xfId="1710"/>
    <cellStyle name="Calculation 12 29" xfId="1786"/>
    <cellStyle name="Calculation 12 3" xfId="886"/>
    <cellStyle name="Calculation 12 30" xfId="1597"/>
    <cellStyle name="Calculation 12 31" xfId="892"/>
    <cellStyle name="Calculation 12 32" xfId="1747"/>
    <cellStyle name="Calculation 12 4" xfId="913"/>
    <cellStyle name="Calculation 12 5" xfId="873"/>
    <cellStyle name="Calculation 12 6" xfId="927"/>
    <cellStyle name="Calculation 12 7" xfId="858"/>
    <cellStyle name="Calculation 12 8" xfId="942"/>
    <cellStyle name="Calculation 12 9" xfId="843"/>
    <cellStyle name="Calculation 13" xfId="383"/>
    <cellStyle name="Calculation 13 10" xfId="958"/>
    <cellStyle name="Calculation 13 11" xfId="827"/>
    <cellStyle name="Calculation 13 12" xfId="973"/>
    <cellStyle name="Calculation 13 13" xfId="812"/>
    <cellStyle name="Calculation 13 14" xfId="989"/>
    <cellStyle name="Calculation 13 15" xfId="798"/>
    <cellStyle name="Calculation 13 16" xfId="1004"/>
    <cellStyle name="Calculation 13 17" xfId="783"/>
    <cellStyle name="Calculation 13 18" xfId="1033"/>
    <cellStyle name="Calculation 13 19" xfId="1181"/>
    <cellStyle name="Calculation 13 2" xfId="898"/>
    <cellStyle name="Calculation 13 20" xfId="1061"/>
    <cellStyle name="Calculation 13 21" xfId="725"/>
    <cellStyle name="Calculation 13 22" xfId="1088"/>
    <cellStyle name="Calculation 13 23" xfId="698"/>
    <cellStyle name="Calculation 13 24" xfId="1143"/>
    <cellStyle name="Calculation 13 25" xfId="1215"/>
    <cellStyle name="Calculation 13 26" xfId="1292"/>
    <cellStyle name="Calculation 13 27" xfId="1369"/>
    <cellStyle name="Calculation 13 28" xfId="1445"/>
    <cellStyle name="Calculation 13 29" xfId="1520"/>
    <cellStyle name="Calculation 13 3" xfId="885"/>
    <cellStyle name="Calculation 13 30" xfId="1598"/>
    <cellStyle name="Calculation 13 31" xfId="714"/>
    <cellStyle name="Calculation 13 32" xfId="1748"/>
    <cellStyle name="Calculation 13 4" xfId="914"/>
    <cellStyle name="Calculation 13 5" xfId="872"/>
    <cellStyle name="Calculation 13 6" xfId="928"/>
    <cellStyle name="Calculation 13 7" xfId="857"/>
    <cellStyle name="Calculation 13 8" xfId="943"/>
    <cellStyle name="Calculation 13 9" xfId="842"/>
    <cellStyle name="Calculation 14" xfId="384"/>
    <cellStyle name="Calculation 14 10" xfId="959"/>
    <cellStyle name="Calculation 14 11" xfId="826"/>
    <cellStyle name="Calculation 14 12" xfId="974"/>
    <cellStyle name="Calculation 14 13" xfId="811"/>
    <cellStyle name="Calculation 14 14" xfId="990"/>
    <cellStyle name="Calculation 14 15" xfId="797"/>
    <cellStyle name="Calculation 14 16" xfId="1005"/>
    <cellStyle name="Calculation 14 17" xfId="782"/>
    <cellStyle name="Calculation 14 18" xfId="1034"/>
    <cellStyle name="Calculation 14 19" xfId="753"/>
    <cellStyle name="Calculation 14 2" xfId="899"/>
    <cellStyle name="Calculation 14 20" xfId="1062"/>
    <cellStyle name="Calculation 14 21" xfId="724"/>
    <cellStyle name="Calculation 14 22" xfId="1089"/>
    <cellStyle name="Calculation 14 23" xfId="697"/>
    <cellStyle name="Calculation 14 24" xfId="1144"/>
    <cellStyle name="Calculation 14 25" xfId="1330"/>
    <cellStyle name="Calculation 14 26" xfId="1407"/>
    <cellStyle name="Calculation 14 27" xfId="1482"/>
    <cellStyle name="Calculation 14 28" xfId="1558"/>
    <cellStyle name="Calculation 14 29" xfId="1633"/>
    <cellStyle name="Calculation 14 3" xfId="884"/>
    <cellStyle name="Calculation 14 30" xfId="1599"/>
    <cellStyle name="Calculation 14 31" xfId="1669"/>
    <cellStyle name="Calculation 14 32" xfId="1749"/>
    <cellStyle name="Calculation 14 4" xfId="915"/>
    <cellStyle name="Calculation 14 5" xfId="871"/>
    <cellStyle name="Calculation 14 6" xfId="929"/>
    <cellStyle name="Calculation 14 7" xfId="856"/>
    <cellStyle name="Calculation 14 8" xfId="944"/>
    <cellStyle name="Calculation 14 9" xfId="841"/>
    <cellStyle name="Calculation 15" xfId="385"/>
    <cellStyle name="Calculation 15 10" xfId="960"/>
    <cellStyle name="Calculation 15 11" xfId="825"/>
    <cellStyle name="Calculation 15 12" xfId="975"/>
    <cellStyle name="Calculation 15 13" xfId="810"/>
    <cellStyle name="Calculation 15 14" xfId="991"/>
    <cellStyle name="Calculation 15 15" xfId="796"/>
    <cellStyle name="Calculation 15 16" xfId="1006"/>
    <cellStyle name="Calculation 15 17" xfId="781"/>
    <cellStyle name="Calculation 15 18" xfId="1035"/>
    <cellStyle name="Calculation 15 19" xfId="752"/>
    <cellStyle name="Calculation 15 2" xfId="900"/>
    <cellStyle name="Calculation 15 20" xfId="1063"/>
    <cellStyle name="Calculation 15 21" xfId="1182"/>
    <cellStyle name="Calculation 15 22" xfId="1090"/>
    <cellStyle name="Calculation 15 23" xfId="696"/>
    <cellStyle name="Calculation 15 24" xfId="1252"/>
    <cellStyle name="Calculation 15 25" xfId="1216"/>
    <cellStyle name="Calculation 15 26" xfId="1293"/>
    <cellStyle name="Calculation 15 27" xfId="1370"/>
    <cellStyle name="Calculation 15 28" xfId="1446"/>
    <cellStyle name="Calculation 15 29" xfId="1521"/>
    <cellStyle name="Calculation 15 3" xfId="883"/>
    <cellStyle name="Calculation 15 30" xfId="1600"/>
    <cellStyle name="Calculation 15 31" xfId="1670"/>
    <cellStyle name="Calculation 15 32" xfId="1750"/>
    <cellStyle name="Calculation 15 4" xfId="916"/>
    <cellStyle name="Calculation 15 5" xfId="870"/>
    <cellStyle name="Calculation 15 6" xfId="930"/>
    <cellStyle name="Calculation 15 7" xfId="855"/>
    <cellStyle name="Calculation 15 8" xfId="945"/>
    <cellStyle name="Calculation 15 9" xfId="840"/>
    <cellStyle name="Calculation 16" xfId="386"/>
    <cellStyle name="Calculation 16 10" xfId="961"/>
    <cellStyle name="Calculation 16 11" xfId="824"/>
    <cellStyle name="Calculation 16 12" xfId="976"/>
    <cellStyle name="Calculation 16 13" xfId="809"/>
    <cellStyle name="Calculation 16 14" xfId="992"/>
    <cellStyle name="Calculation 16 15" xfId="795"/>
    <cellStyle name="Calculation 16 16" xfId="1007"/>
    <cellStyle name="Calculation 16 17" xfId="780"/>
    <cellStyle name="Calculation 16 18" xfId="1036"/>
    <cellStyle name="Calculation 16 19" xfId="751"/>
    <cellStyle name="Calculation 16 2" xfId="901"/>
    <cellStyle name="Calculation 16 20" xfId="1064"/>
    <cellStyle name="Calculation 16 21" xfId="723"/>
    <cellStyle name="Calculation 16 22" xfId="1091"/>
    <cellStyle name="Calculation 16 23" xfId="1179"/>
    <cellStyle name="Calculation 16 24" xfId="1145"/>
    <cellStyle name="Calculation 16 25" xfId="1217"/>
    <cellStyle name="Calculation 16 26" xfId="1294"/>
    <cellStyle name="Calculation 16 27" xfId="1371"/>
    <cellStyle name="Calculation 16 28" xfId="1447"/>
    <cellStyle name="Calculation 16 29" xfId="1522"/>
    <cellStyle name="Calculation 16 3" xfId="882"/>
    <cellStyle name="Calculation 16 30" xfId="1601"/>
    <cellStyle name="Calculation 16 31" xfId="1915"/>
    <cellStyle name="Calculation 16 32" xfId="1751"/>
    <cellStyle name="Calculation 16 4" xfId="917"/>
    <cellStyle name="Calculation 16 5" xfId="869"/>
    <cellStyle name="Calculation 16 6" xfId="931"/>
    <cellStyle name="Calculation 16 7" xfId="854"/>
    <cellStyle name="Calculation 16 8" xfId="946"/>
    <cellStyle name="Calculation 16 9" xfId="839"/>
    <cellStyle name="Calculation 2" xfId="387"/>
    <cellStyle name="Calculation 2 10" xfId="962"/>
    <cellStyle name="Calculation 2 11" xfId="823"/>
    <cellStyle name="Calculation 2 12" xfId="977"/>
    <cellStyle name="Calculation 2 13" xfId="808"/>
    <cellStyle name="Calculation 2 14" xfId="993"/>
    <cellStyle name="Calculation 2 15" xfId="794"/>
    <cellStyle name="Calculation 2 16" xfId="1008"/>
    <cellStyle name="Calculation 2 17" xfId="779"/>
    <cellStyle name="Calculation 2 18" xfId="1037"/>
    <cellStyle name="Calculation 2 19" xfId="750"/>
    <cellStyle name="Calculation 2 2" xfId="902"/>
    <cellStyle name="Calculation 2 20" xfId="1065"/>
    <cellStyle name="Calculation 2 21" xfId="722"/>
    <cellStyle name="Calculation 2 22" xfId="1092"/>
    <cellStyle name="Calculation 2 23" xfId="695"/>
    <cellStyle name="Calculation 2 24" xfId="1146"/>
    <cellStyle name="Calculation 2 25" xfId="1218"/>
    <cellStyle name="Calculation 2 26" xfId="1295"/>
    <cellStyle name="Calculation 2 27" xfId="1372"/>
    <cellStyle name="Calculation 2 28" xfId="1448"/>
    <cellStyle name="Calculation 2 29" xfId="1523"/>
    <cellStyle name="Calculation 2 3" xfId="881"/>
    <cellStyle name="Calculation 2 30" xfId="1602"/>
    <cellStyle name="Calculation 2 31" xfId="1671"/>
    <cellStyle name="Calculation 2 32" xfId="1752"/>
    <cellStyle name="Calculation 2 4" xfId="918"/>
    <cellStyle name="Calculation 2 5" xfId="868"/>
    <cellStyle name="Calculation 2 6" xfId="932"/>
    <cellStyle name="Calculation 2 7" xfId="853"/>
    <cellStyle name="Calculation 2 8" xfId="947"/>
    <cellStyle name="Calculation 2 9" xfId="838"/>
    <cellStyle name="Calculation 3" xfId="388"/>
    <cellStyle name="Calculation 3 10" xfId="963"/>
    <cellStyle name="Calculation 3 11" xfId="822"/>
    <cellStyle name="Calculation 3 12" xfId="978"/>
    <cellStyle name="Calculation 3 13" xfId="807"/>
    <cellStyle name="Calculation 3 14" xfId="994"/>
    <cellStyle name="Calculation 3 15" xfId="793"/>
    <cellStyle name="Calculation 3 16" xfId="1009"/>
    <cellStyle name="Calculation 3 17" xfId="778"/>
    <cellStyle name="Calculation 3 18" xfId="1038"/>
    <cellStyle name="Calculation 3 19" xfId="749"/>
    <cellStyle name="Calculation 3 2" xfId="903"/>
    <cellStyle name="Calculation 3 20" xfId="1066"/>
    <cellStyle name="Calculation 3 21" xfId="721"/>
    <cellStyle name="Calculation 3 22" xfId="1093"/>
    <cellStyle name="Calculation 3 23" xfId="694"/>
    <cellStyle name="Calculation 3 24" xfId="1147"/>
    <cellStyle name="Calculation 3 25" xfId="1219"/>
    <cellStyle name="Calculation 3 26" xfId="1296"/>
    <cellStyle name="Calculation 3 27" xfId="1373"/>
    <cellStyle name="Calculation 3 28" xfId="1449"/>
    <cellStyle name="Calculation 3 29" xfId="1524"/>
    <cellStyle name="Calculation 3 3" xfId="880"/>
    <cellStyle name="Calculation 3 30" xfId="1603"/>
    <cellStyle name="Calculation 3 31" xfId="1783"/>
    <cellStyle name="Calculation 3 32" xfId="1753"/>
    <cellStyle name="Calculation 3 4" xfId="919"/>
    <cellStyle name="Calculation 3 5" xfId="867"/>
    <cellStyle name="Calculation 3 6" xfId="933"/>
    <cellStyle name="Calculation 3 7" xfId="852"/>
    <cellStyle name="Calculation 3 8" xfId="948"/>
    <cellStyle name="Calculation 3 9" xfId="837"/>
    <cellStyle name="Calculation 4" xfId="389"/>
    <cellStyle name="Calculation 4 10" xfId="964"/>
    <cellStyle name="Calculation 4 11" xfId="821"/>
    <cellStyle name="Calculation 4 12" xfId="979"/>
    <cellStyle name="Calculation 4 13" xfId="806"/>
    <cellStyle name="Calculation 4 14" xfId="995"/>
    <cellStyle name="Calculation 4 15" xfId="792"/>
    <cellStyle name="Calculation 4 16" xfId="1010"/>
    <cellStyle name="Calculation 4 17" xfId="777"/>
    <cellStyle name="Calculation 4 18" xfId="1039"/>
    <cellStyle name="Calculation 4 19" xfId="748"/>
    <cellStyle name="Calculation 4 2" xfId="904"/>
    <cellStyle name="Calculation 4 20" xfId="1067"/>
    <cellStyle name="Calculation 4 21" xfId="720"/>
    <cellStyle name="Calculation 4 22" xfId="1094"/>
    <cellStyle name="Calculation 4 23" xfId="693"/>
    <cellStyle name="Calculation 4 24" xfId="1148"/>
    <cellStyle name="Calculation 4 25" xfId="1220"/>
    <cellStyle name="Calculation 4 26" xfId="1297"/>
    <cellStyle name="Calculation 4 27" xfId="1374"/>
    <cellStyle name="Calculation 4 28" xfId="1450"/>
    <cellStyle name="Calculation 4 29" xfId="1525"/>
    <cellStyle name="Calculation 4 3" xfId="879"/>
    <cellStyle name="Calculation 4 30" xfId="1849"/>
    <cellStyle name="Calculation 4 31" xfId="1672"/>
    <cellStyle name="Calculation 4 32" xfId="1754"/>
    <cellStyle name="Calculation 4 4" xfId="920"/>
    <cellStyle name="Calculation 4 5" xfId="866"/>
    <cellStyle name="Calculation 4 6" xfId="934"/>
    <cellStyle name="Calculation 4 7" xfId="851"/>
    <cellStyle name="Calculation 4 8" xfId="949"/>
    <cellStyle name="Calculation 4 9" xfId="836"/>
    <cellStyle name="Calculation 5" xfId="390"/>
    <cellStyle name="Calculation 5 10" xfId="965"/>
    <cellStyle name="Calculation 5 11" xfId="820"/>
    <cellStyle name="Calculation 5 12" xfId="980"/>
    <cellStyle name="Calculation 5 13" xfId="805"/>
    <cellStyle name="Calculation 5 14" xfId="996"/>
    <cellStyle name="Calculation 5 15" xfId="791"/>
    <cellStyle name="Calculation 5 16" xfId="1011"/>
    <cellStyle name="Calculation 5 17" xfId="776"/>
    <cellStyle name="Calculation 5 18" xfId="1040"/>
    <cellStyle name="Calculation 5 19" xfId="747"/>
    <cellStyle name="Calculation 5 2" xfId="905"/>
    <cellStyle name="Calculation 5 20" xfId="672"/>
    <cellStyle name="Calculation 5 21" xfId="719"/>
    <cellStyle name="Calculation 5 22" xfId="674"/>
    <cellStyle name="Calculation 5 23" xfId="692"/>
    <cellStyle name="Calculation 5 24" xfId="1149"/>
    <cellStyle name="Calculation 5 25" xfId="1221"/>
    <cellStyle name="Calculation 5 26" xfId="1298"/>
    <cellStyle name="Calculation 5 27" xfId="1375"/>
    <cellStyle name="Calculation 5 28" xfId="1451"/>
    <cellStyle name="Calculation 5 29" xfId="1526"/>
    <cellStyle name="Calculation 5 3" xfId="878"/>
    <cellStyle name="Calculation 5 30" xfId="1706"/>
    <cellStyle name="Calculation 5 31" xfId="1673"/>
    <cellStyle name="Calculation 5 32" xfId="1976"/>
    <cellStyle name="Calculation 5 4" xfId="921"/>
    <cellStyle name="Calculation 5 5" xfId="865"/>
    <cellStyle name="Calculation 5 6" xfId="935"/>
    <cellStyle name="Calculation 5 7" xfId="850"/>
    <cellStyle name="Calculation 5 8" xfId="950"/>
    <cellStyle name="Calculation 5 9" xfId="835"/>
    <cellStyle name="Calculation 6" xfId="391"/>
    <cellStyle name="Calculation 6 10" xfId="966"/>
    <cellStyle name="Calculation 6 11" xfId="819"/>
    <cellStyle name="Calculation 6 12" xfId="981"/>
    <cellStyle name="Calculation 6 13" xfId="804"/>
    <cellStyle name="Calculation 6 14" xfId="997"/>
    <cellStyle name="Calculation 6 15" xfId="790"/>
    <cellStyle name="Calculation 6 16" xfId="1012"/>
    <cellStyle name="Calculation 6 17" xfId="775"/>
    <cellStyle name="Calculation 6 18" xfId="1041"/>
    <cellStyle name="Calculation 6 19" xfId="746"/>
    <cellStyle name="Calculation 6 2" xfId="906"/>
    <cellStyle name="Calculation 6 20" xfId="1069"/>
    <cellStyle name="Calculation 6 21" xfId="718"/>
    <cellStyle name="Calculation 6 22" xfId="1095"/>
    <cellStyle name="Calculation 6 23" xfId="691"/>
    <cellStyle name="Calculation 6 24" xfId="1150"/>
    <cellStyle name="Calculation 6 25" xfId="1222"/>
    <cellStyle name="Calculation 6 26" xfId="1299"/>
    <cellStyle name="Calculation 6 27" xfId="1376"/>
    <cellStyle name="Calculation 6 28" xfId="1452"/>
    <cellStyle name="Calculation 6 29" xfId="1527"/>
    <cellStyle name="Calculation 6 3" xfId="877"/>
    <cellStyle name="Calculation 6 30" xfId="1605"/>
    <cellStyle name="Calculation 6 31" xfId="1674"/>
    <cellStyle name="Calculation 6 32" xfId="1755"/>
    <cellStyle name="Calculation 6 4" xfId="922"/>
    <cellStyle name="Calculation 6 5" xfId="864"/>
    <cellStyle name="Calculation 6 6" xfId="936"/>
    <cellStyle name="Calculation 6 7" xfId="849"/>
    <cellStyle name="Calculation 6 8" xfId="951"/>
    <cellStyle name="Calculation 6 9" xfId="834"/>
    <cellStyle name="Calculation 7" xfId="392"/>
    <cellStyle name="Calculation 7 10" xfId="967"/>
    <cellStyle name="Calculation 7 11" xfId="818"/>
    <cellStyle name="Calculation 7 12" xfId="982"/>
    <cellStyle name="Calculation 7 13" xfId="803"/>
    <cellStyle name="Calculation 7 14" xfId="998"/>
    <cellStyle name="Calculation 7 15" xfId="789"/>
    <cellStyle name="Calculation 7 16" xfId="671"/>
    <cellStyle name="Calculation 7 17" xfId="774"/>
    <cellStyle name="Calculation 7 18" xfId="1042"/>
    <cellStyle name="Calculation 7 19" xfId="745"/>
    <cellStyle name="Calculation 7 2" xfId="907"/>
    <cellStyle name="Calculation 7 20" xfId="1070"/>
    <cellStyle name="Calculation 7 21" xfId="717"/>
    <cellStyle name="Calculation 7 22" xfId="1253"/>
    <cellStyle name="Calculation 7 23" xfId="690"/>
    <cellStyle name="Calculation 7 24" xfId="1151"/>
    <cellStyle name="Calculation 7 25" xfId="1223"/>
    <cellStyle name="Calculation 7 26" xfId="1300"/>
    <cellStyle name="Calculation 7 27" xfId="1377"/>
    <cellStyle name="Calculation 7 28" xfId="1453"/>
    <cellStyle name="Calculation 7 29" xfId="1528"/>
    <cellStyle name="Calculation 7 3" xfId="876"/>
    <cellStyle name="Calculation 7 30" xfId="2100"/>
    <cellStyle name="Calculation 7 31" xfId="1675"/>
    <cellStyle name="Calculation 7 32" xfId="2226"/>
    <cellStyle name="Calculation 7 4" xfId="923"/>
    <cellStyle name="Calculation 7 5" xfId="863"/>
    <cellStyle name="Calculation 7 6" xfId="937"/>
    <cellStyle name="Calculation 7 7" xfId="848"/>
    <cellStyle name="Calculation 7 8" xfId="952"/>
    <cellStyle name="Calculation 7 9" xfId="833"/>
    <cellStyle name="Calculation 8" xfId="393"/>
    <cellStyle name="Calculation 8 10" xfId="968"/>
    <cellStyle name="Calculation 8 11" xfId="817"/>
    <cellStyle name="Calculation 8 12" xfId="983"/>
    <cellStyle name="Calculation 8 13" xfId="802"/>
    <cellStyle name="Calculation 8 14" xfId="999"/>
    <cellStyle name="Calculation 8 15" xfId="788"/>
    <cellStyle name="Calculation 8 16" xfId="1028"/>
    <cellStyle name="Calculation 8 17" xfId="773"/>
    <cellStyle name="Calculation 8 18" xfId="1043"/>
    <cellStyle name="Calculation 8 19" xfId="744"/>
    <cellStyle name="Calculation 8 2" xfId="908"/>
    <cellStyle name="Calculation 8 20" xfId="1071"/>
    <cellStyle name="Calculation 8 21" xfId="716"/>
    <cellStyle name="Calculation 8 22" xfId="1560"/>
    <cellStyle name="Calculation 8 23" xfId="1331"/>
    <cellStyle name="Calculation 8 24" xfId="1408"/>
    <cellStyle name="Calculation 8 25" xfId="1483"/>
    <cellStyle name="Calculation 8 26" xfId="1559"/>
    <cellStyle name="Calculation 8 27" xfId="1634"/>
    <cellStyle name="Calculation 8 28" xfId="1708"/>
    <cellStyle name="Calculation 8 29" xfId="1784"/>
    <cellStyle name="Calculation 8 3" xfId="875"/>
    <cellStyle name="Calculation 8 30" xfId="1745"/>
    <cellStyle name="Calculation 8 31" xfId="1676"/>
    <cellStyle name="Calculation 8 32" xfId="1885"/>
    <cellStyle name="Calculation 8 4" xfId="924"/>
    <cellStyle name="Calculation 8 5" xfId="862"/>
    <cellStyle name="Calculation 8 6" xfId="938"/>
    <cellStyle name="Calculation 8 7" xfId="847"/>
    <cellStyle name="Calculation 8 8" xfId="953"/>
    <cellStyle name="Calculation 8 9" xfId="832"/>
    <cellStyle name="Calculation 9" xfId="394"/>
    <cellStyle name="Calculation 9 10" xfId="969"/>
    <cellStyle name="Calculation 9 11" xfId="816"/>
    <cellStyle name="Calculation 9 12" xfId="984"/>
    <cellStyle name="Calculation 9 13" xfId="801"/>
    <cellStyle name="Calculation 9 14" xfId="1000"/>
    <cellStyle name="Calculation 9 15" xfId="787"/>
    <cellStyle name="Calculation 9 16" xfId="1029"/>
    <cellStyle name="Calculation 9 17" xfId="772"/>
    <cellStyle name="Calculation 9 18" xfId="1044"/>
    <cellStyle name="Calculation 9 19" xfId="743"/>
    <cellStyle name="Calculation 9 2" xfId="909"/>
    <cellStyle name="Calculation 9 20" xfId="1409"/>
    <cellStyle name="Calculation 9 21" xfId="715"/>
    <cellStyle name="Calculation 9 22" xfId="1142"/>
    <cellStyle name="Calculation 9 23" xfId="688"/>
    <cellStyle name="Calculation 9 24" xfId="1168"/>
    <cellStyle name="Calculation 9 25" xfId="1329"/>
    <cellStyle name="Calculation 9 26" xfId="1406"/>
    <cellStyle name="Calculation 9 27" xfId="1481"/>
    <cellStyle name="Calculation 9 28" xfId="1557"/>
    <cellStyle name="Calculation 9 29" xfId="2039"/>
    <cellStyle name="Calculation 9 3" xfId="874"/>
    <cellStyle name="Calculation 9 30" xfId="1977"/>
    <cellStyle name="Calculation 9 31" xfId="1677"/>
    <cellStyle name="Calculation 9 32" xfId="2101"/>
    <cellStyle name="Calculation 9 4" xfId="925"/>
    <cellStyle name="Calculation 9 5" xfId="861"/>
    <cellStyle name="Calculation 9 6" xfId="939"/>
    <cellStyle name="Calculation 9 7" xfId="846"/>
    <cellStyle name="Calculation 9 8" xfId="954"/>
    <cellStyle name="Calculation 9 9" xfId="831"/>
    <cellStyle name="Check Cell 10" xfId="395"/>
    <cellStyle name="Check Cell 11" xfId="396"/>
    <cellStyle name="Check Cell 12" xfId="397"/>
    <cellStyle name="Check Cell 13" xfId="398"/>
    <cellStyle name="Check Cell 14" xfId="399"/>
    <cellStyle name="Check Cell 15" xfId="400"/>
    <cellStyle name="Check Cell 16" xfId="401"/>
    <cellStyle name="Check Cell 2" xfId="402"/>
    <cellStyle name="Check Cell 3" xfId="403"/>
    <cellStyle name="Check Cell 4" xfId="404"/>
    <cellStyle name="Check Cell 5" xfId="405"/>
    <cellStyle name="Check Cell 6" xfId="406"/>
    <cellStyle name="Check Cell 7" xfId="407"/>
    <cellStyle name="Check Cell 8" xfId="408"/>
    <cellStyle name="Check Cell 9" xfId="409"/>
    <cellStyle name="Comma 2" xfId="3030"/>
    <cellStyle name="Explanatory Text 10" xfId="410"/>
    <cellStyle name="Explanatory Text 11" xfId="411"/>
    <cellStyle name="Explanatory Text 12" xfId="412"/>
    <cellStyle name="Explanatory Text 13" xfId="413"/>
    <cellStyle name="Explanatory Text 14" xfId="414"/>
    <cellStyle name="Explanatory Text 15" xfId="415"/>
    <cellStyle name="Explanatory Text 16" xfId="416"/>
    <cellStyle name="Explanatory Text 2" xfId="417"/>
    <cellStyle name="Explanatory Text 3" xfId="418"/>
    <cellStyle name="Explanatory Text 4" xfId="419"/>
    <cellStyle name="Explanatory Text 5" xfId="420"/>
    <cellStyle name="Explanatory Text 6" xfId="421"/>
    <cellStyle name="Explanatory Text 7" xfId="422"/>
    <cellStyle name="Explanatory Text 8" xfId="423"/>
    <cellStyle name="Explanatory Text 9" xfId="424"/>
    <cellStyle name="Good 10" xfId="425"/>
    <cellStyle name="Good 11" xfId="426"/>
    <cellStyle name="Good 12" xfId="427"/>
    <cellStyle name="Good 13" xfId="428"/>
    <cellStyle name="Good 14" xfId="429"/>
    <cellStyle name="Good 15" xfId="430"/>
    <cellStyle name="Good 16" xfId="431"/>
    <cellStyle name="Good 2" xfId="432"/>
    <cellStyle name="Good 3" xfId="433"/>
    <cellStyle name="Good 4" xfId="434"/>
    <cellStyle name="Good 5" xfId="435"/>
    <cellStyle name="Good 6" xfId="436"/>
    <cellStyle name="Good 7" xfId="437"/>
    <cellStyle name="Good 8" xfId="438"/>
    <cellStyle name="Good 9" xfId="439"/>
    <cellStyle name="Heading 1 10" xfId="440"/>
    <cellStyle name="Heading 1 11" xfId="441"/>
    <cellStyle name="Heading 1 12" xfId="442"/>
    <cellStyle name="Heading 1 13" xfId="443"/>
    <cellStyle name="Heading 1 14" xfId="444"/>
    <cellStyle name="Heading 1 15" xfId="445"/>
    <cellStyle name="Heading 1 16" xfId="446"/>
    <cellStyle name="Heading 1 2" xfId="447"/>
    <cellStyle name="Heading 1 3" xfId="448"/>
    <cellStyle name="Heading 1 4" xfId="449"/>
    <cellStyle name="Heading 1 5" xfId="450"/>
    <cellStyle name="Heading 1 6" xfId="451"/>
    <cellStyle name="Heading 1 7" xfId="452"/>
    <cellStyle name="Heading 1 8" xfId="453"/>
    <cellStyle name="Heading 1 9" xfId="454"/>
    <cellStyle name="Heading 2 10" xfId="455"/>
    <cellStyle name="Heading 2 11" xfId="456"/>
    <cellStyle name="Heading 2 12" xfId="457"/>
    <cellStyle name="Heading 2 13" xfId="458"/>
    <cellStyle name="Heading 2 14" xfId="459"/>
    <cellStyle name="Heading 2 15" xfId="460"/>
    <cellStyle name="Heading 2 16" xfId="461"/>
    <cellStyle name="Heading 2 2" xfId="462"/>
    <cellStyle name="Heading 2 3" xfId="463"/>
    <cellStyle name="Heading 2 4" xfId="464"/>
    <cellStyle name="Heading 2 5" xfId="465"/>
    <cellStyle name="Heading 2 6" xfId="466"/>
    <cellStyle name="Heading 2 7" xfId="467"/>
    <cellStyle name="Heading 2 8" xfId="468"/>
    <cellStyle name="Heading 2 9" xfId="469"/>
    <cellStyle name="Heading 3 10" xfId="470"/>
    <cellStyle name="Heading 3 11" xfId="471"/>
    <cellStyle name="Heading 3 12" xfId="472"/>
    <cellStyle name="Heading 3 13" xfId="473"/>
    <cellStyle name="Heading 3 14" xfId="474"/>
    <cellStyle name="Heading 3 15" xfId="475"/>
    <cellStyle name="Heading 3 16" xfId="476"/>
    <cellStyle name="Heading 3 2" xfId="477"/>
    <cellStyle name="Heading 3 3" xfId="478"/>
    <cellStyle name="Heading 3 4" xfId="479"/>
    <cellStyle name="Heading 3 5" xfId="480"/>
    <cellStyle name="Heading 3 6" xfId="481"/>
    <cellStyle name="Heading 3 7" xfId="482"/>
    <cellStyle name="Heading 3 8" xfId="483"/>
    <cellStyle name="Heading 3 9" xfId="484"/>
    <cellStyle name="Heading 4 10" xfId="485"/>
    <cellStyle name="Heading 4 11" xfId="486"/>
    <cellStyle name="Heading 4 12" xfId="487"/>
    <cellStyle name="Heading 4 13" xfId="488"/>
    <cellStyle name="Heading 4 14" xfId="489"/>
    <cellStyle name="Heading 4 15" xfId="490"/>
    <cellStyle name="Heading 4 16" xfId="491"/>
    <cellStyle name="Heading 4 2" xfId="492"/>
    <cellStyle name="Heading 4 3" xfId="493"/>
    <cellStyle name="Heading 4 4" xfId="494"/>
    <cellStyle name="Heading 4 5" xfId="495"/>
    <cellStyle name="Heading 4 6" xfId="496"/>
    <cellStyle name="Heading 4 7" xfId="497"/>
    <cellStyle name="Heading 4 8" xfId="498"/>
    <cellStyle name="Heading 4 9" xfId="499"/>
    <cellStyle name="Input 10" xfId="500"/>
    <cellStyle name="Input 10 10" xfId="1251"/>
    <cellStyle name="Input 10 11" xfId="1225"/>
    <cellStyle name="Input 10 12" xfId="1302"/>
    <cellStyle name="Input 10 13" xfId="1379"/>
    <cellStyle name="Input 10 14" xfId="1455"/>
    <cellStyle name="Input 10 15" xfId="1632"/>
    <cellStyle name="Input 10 16" xfId="1606"/>
    <cellStyle name="Input 10 17" xfId="1782"/>
    <cellStyle name="Input 10 18" xfId="1756"/>
    <cellStyle name="Input 10 19" xfId="1913"/>
    <cellStyle name="Input 10 2" xfId="1013"/>
    <cellStyle name="Input 10 20" xfId="1887"/>
    <cellStyle name="Input 10 21" xfId="1949"/>
    <cellStyle name="Input 10 22" xfId="2013"/>
    <cellStyle name="Input 10 23" xfId="2074"/>
    <cellStyle name="Input 10 24" xfId="2225"/>
    <cellStyle name="Input 10 25" xfId="2199"/>
    <cellStyle name="Input 10 26" xfId="2469"/>
    <cellStyle name="Input 10 27" xfId="2320"/>
    <cellStyle name="Input 10 28" xfId="2380"/>
    <cellStyle name="Input 10 29" xfId="2443"/>
    <cellStyle name="Input 10 3" xfId="768"/>
    <cellStyle name="Input 10 30" xfId="2518"/>
    <cellStyle name="Input 10 31" xfId="2561"/>
    <cellStyle name="Input 10 32" xfId="2640"/>
    <cellStyle name="Input 10 4" xfId="1045"/>
    <cellStyle name="Input 10 5" xfId="741"/>
    <cellStyle name="Input 10 6" xfId="1072"/>
    <cellStyle name="Input 10 7" xfId="1180"/>
    <cellStyle name="Input 10 8" xfId="1097"/>
    <cellStyle name="Input 10 9" xfId="687"/>
    <cellStyle name="Input 11" xfId="501"/>
    <cellStyle name="Input 11 10" xfId="1169"/>
    <cellStyle name="Input 11 11" xfId="1226"/>
    <cellStyle name="Input 11 12" xfId="1303"/>
    <cellStyle name="Input 11 13" xfId="1380"/>
    <cellStyle name="Input 11 14" xfId="1471"/>
    <cellStyle name="Input 11 15" xfId="1530"/>
    <cellStyle name="Input 11 16" xfId="1622"/>
    <cellStyle name="Input 11 17" xfId="1679"/>
    <cellStyle name="Input 11 18" xfId="1772"/>
    <cellStyle name="Input 11 19" xfId="1820"/>
    <cellStyle name="Input 11 2" xfId="1014"/>
    <cellStyle name="Input 11 20" xfId="1903"/>
    <cellStyle name="Input 11 21" xfId="1950"/>
    <cellStyle name="Input 11 22" xfId="2029"/>
    <cellStyle name="Input 11 23" xfId="2090"/>
    <cellStyle name="Input 11 24" xfId="2137"/>
    <cellStyle name="Input 11 25" xfId="2215"/>
    <cellStyle name="Input 11 26" xfId="2259"/>
    <cellStyle name="Input 11 27" xfId="2336"/>
    <cellStyle name="Input 11 28" xfId="2468"/>
    <cellStyle name="Input 11 29" xfId="2459"/>
    <cellStyle name="Input 11 3" xfId="767"/>
    <cellStyle name="Input 11 30" xfId="2519"/>
    <cellStyle name="Input 11 31" xfId="2562"/>
    <cellStyle name="Input 11 32" xfId="2641"/>
    <cellStyle name="Input 11 4" xfId="1046"/>
    <cellStyle name="Input 11 5" xfId="740"/>
    <cellStyle name="Input 11 6" xfId="1073"/>
    <cellStyle name="Input 11 7" xfId="712"/>
    <cellStyle name="Input 11 8" xfId="1098"/>
    <cellStyle name="Input 11 9" xfId="1178"/>
    <cellStyle name="Input 12" xfId="502"/>
    <cellStyle name="Input 12 10" xfId="1170"/>
    <cellStyle name="Input 12 11" xfId="1227"/>
    <cellStyle name="Input 12 12" xfId="1304"/>
    <cellStyle name="Input 12 13" xfId="1396"/>
    <cellStyle name="Input 12 14" xfId="1472"/>
    <cellStyle name="Input 12 15" xfId="1531"/>
    <cellStyle name="Input 12 16" xfId="1623"/>
    <cellStyle name="Input 12 17" xfId="1680"/>
    <cellStyle name="Input 12 18" xfId="1773"/>
    <cellStyle name="Input 12 19" xfId="1821"/>
    <cellStyle name="Input 12 2" xfId="1015"/>
    <cellStyle name="Input 12 20" xfId="1904"/>
    <cellStyle name="Input 12 21" xfId="1951"/>
    <cellStyle name="Input 12 22" xfId="2030"/>
    <cellStyle name="Input 12 23" xfId="2091"/>
    <cellStyle name="Input 12 24" xfId="2138"/>
    <cellStyle name="Input 12 25" xfId="2216"/>
    <cellStyle name="Input 12 26" xfId="2260"/>
    <cellStyle name="Input 12 27" xfId="2337"/>
    <cellStyle name="Input 12 28" xfId="2381"/>
    <cellStyle name="Input 12 29" xfId="2460"/>
    <cellStyle name="Input 12 3" xfId="766"/>
    <cellStyle name="Input 12 30" xfId="2520"/>
    <cellStyle name="Input 12 31" xfId="2747"/>
    <cellStyle name="Input 12 32" xfId="2642"/>
    <cellStyle name="Input 12 4" xfId="1047"/>
    <cellStyle name="Input 12 5" xfId="739"/>
    <cellStyle name="Input 12 6" xfId="1074"/>
    <cellStyle name="Input 12 7" xfId="711"/>
    <cellStyle name="Input 12 8" xfId="1099"/>
    <cellStyle name="Input 12 9" xfId="686"/>
    <cellStyle name="Input 13" xfId="503"/>
    <cellStyle name="Input 13 10" xfId="1171"/>
    <cellStyle name="Input 13 11" xfId="1228"/>
    <cellStyle name="Input 13 12" xfId="1320"/>
    <cellStyle name="Input 13 13" xfId="1397"/>
    <cellStyle name="Input 13 14" xfId="1473"/>
    <cellStyle name="Input 13 15" xfId="1547"/>
    <cellStyle name="Input 13 16" xfId="1624"/>
    <cellStyle name="Input 13 17" xfId="1696"/>
    <cellStyle name="Input 13 18" xfId="1774"/>
    <cellStyle name="Input 13 19" xfId="1837"/>
    <cellStyle name="Input 13 2" xfId="1016"/>
    <cellStyle name="Input 13 20" xfId="1905"/>
    <cellStyle name="Input 13 21" xfId="1967"/>
    <cellStyle name="Input 13 22" xfId="2031"/>
    <cellStyle name="Input 13 23" xfId="2092"/>
    <cellStyle name="Input 13 24" xfId="2154"/>
    <cellStyle name="Input 13 25" xfId="2217"/>
    <cellStyle name="Input 13 26" xfId="2276"/>
    <cellStyle name="Input 13 27" xfId="2338"/>
    <cellStyle name="Input 13 28" xfId="2397"/>
    <cellStyle name="Input 13 29" xfId="2461"/>
    <cellStyle name="Input 13 3" xfId="765"/>
    <cellStyle name="Input 13 30" xfId="2502"/>
    <cellStyle name="Input 13 31" xfId="2648"/>
    <cellStyle name="Input 13 32" xfId="2624"/>
    <cellStyle name="Input 13 4" xfId="1048"/>
    <cellStyle name="Input 13 5" xfId="738"/>
    <cellStyle name="Input 13 6" xfId="1075"/>
    <cellStyle name="Input 13 7" xfId="710"/>
    <cellStyle name="Input 13 8" xfId="1100"/>
    <cellStyle name="Input 13 9" xfId="685"/>
    <cellStyle name="Input 14" xfId="504"/>
    <cellStyle name="Input 14 10" xfId="1172"/>
    <cellStyle name="Input 14 11" xfId="1244"/>
    <cellStyle name="Input 14 12" xfId="1321"/>
    <cellStyle name="Input 14 13" xfId="1398"/>
    <cellStyle name="Input 14 14" xfId="1474"/>
    <cellStyle name="Input 14 15" xfId="1548"/>
    <cellStyle name="Input 14 16" xfId="1625"/>
    <cellStyle name="Input 14 17" xfId="1697"/>
    <cellStyle name="Input 14 18" xfId="1775"/>
    <cellStyle name="Input 14 19" xfId="1838"/>
    <cellStyle name="Input 14 2" xfId="1017"/>
    <cellStyle name="Input 14 20" xfId="1906"/>
    <cellStyle name="Input 14 21" xfId="1968"/>
    <cellStyle name="Input 14 22" xfId="2032"/>
    <cellStyle name="Input 14 23" xfId="2093"/>
    <cellStyle name="Input 14 24" xfId="2155"/>
    <cellStyle name="Input 14 25" xfId="2218"/>
    <cellStyle name="Input 14 26" xfId="2277"/>
    <cellStyle name="Input 14 27" xfId="2339"/>
    <cellStyle name="Input 14 28" xfId="2398"/>
    <cellStyle name="Input 14 29" xfId="2462"/>
    <cellStyle name="Input 14 3" xfId="764"/>
    <cellStyle name="Input 14 30" xfId="2521"/>
    <cellStyle name="Input 14 31" xfId="2564"/>
    <cellStyle name="Input 14 32" xfId="2643"/>
    <cellStyle name="Input 14 4" xfId="1049"/>
    <cellStyle name="Input 14 5" xfId="737"/>
    <cellStyle name="Input 14 6" xfId="1076"/>
    <cellStyle name="Input 14 7" xfId="709"/>
    <cellStyle name="Input 14 8" xfId="1101"/>
    <cellStyle name="Input 14 9" xfId="684"/>
    <cellStyle name="Input 15" xfId="505"/>
    <cellStyle name="Input 15 10" xfId="1173"/>
    <cellStyle name="Input 15 11" xfId="1245"/>
    <cellStyle name="Input 15 12" xfId="1322"/>
    <cellStyle name="Input 15 13" xfId="1399"/>
    <cellStyle name="Input 15 14" xfId="1475"/>
    <cellStyle name="Input 15 15" xfId="1549"/>
    <cellStyle name="Input 15 16" xfId="1626"/>
    <cellStyle name="Input 15 17" xfId="1698"/>
    <cellStyle name="Input 15 18" xfId="1776"/>
    <cellStyle name="Input 15 19" xfId="1839"/>
    <cellStyle name="Input 15 2" xfId="1018"/>
    <cellStyle name="Input 15 20" xfId="1907"/>
    <cellStyle name="Input 15 21" xfId="1969"/>
    <cellStyle name="Input 15 22" xfId="2033"/>
    <cellStyle name="Input 15 23" xfId="2094"/>
    <cellStyle name="Input 15 24" xfId="2156"/>
    <cellStyle name="Input 15 25" xfId="2219"/>
    <cellStyle name="Input 15 26" xfId="2278"/>
    <cellStyle name="Input 15 27" xfId="2340"/>
    <cellStyle name="Input 15 28" xfId="2399"/>
    <cellStyle name="Input 15 29" xfId="2463"/>
    <cellStyle name="Input 15 3" xfId="763"/>
    <cellStyle name="Input 15 30" xfId="2522"/>
    <cellStyle name="Input 15 31" xfId="2565"/>
    <cellStyle name="Input 15 32" xfId="2644"/>
    <cellStyle name="Input 15 4" xfId="1050"/>
    <cellStyle name="Input 15 5" xfId="736"/>
    <cellStyle name="Input 15 6" xfId="1068"/>
    <cellStyle name="Input 15 7" xfId="708"/>
    <cellStyle name="Input 15 8" xfId="1102"/>
    <cellStyle name="Input 15 9" xfId="683"/>
    <cellStyle name="Input 16" xfId="506"/>
    <cellStyle name="Input 16 10" xfId="1174"/>
    <cellStyle name="Input 16 11" xfId="1246"/>
    <cellStyle name="Input 16 12" xfId="1323"/>
    <cellStyle name="Input 16 13" xfId="1400"/>
    <cellStyle name="Input 16 14" xfId="1454"/>
    <cellStyle name="Input 16 15" xfId="1550"/>
    <cellStyle name="Input 16 16" xfId="1604"/>
    <cellStyle name="Input 16 17" xfId="1699"/>
    <cellStyle name="Input 16 18" xfId="1777"/>
    <cellStyle name="Input 16 19" xfId="1840"/>
    <cellStyle name="Input 16 2" xfId="1019"/>
    <cellStyle name="Input 16 20" xfId="1908"/>
    <cellStyle name="Input 16 21" xfId="1970"/>
    <cellStyle name="Input 16 22" xfId="2012"/>
    <cellStyle name="Input 16 23" xfId="2073"/>
    <cellStyle name="Input 16 24" xfId="2157"/>
    <cellStyle name="Input 16 25" xfId="2198"/>
    <cellStyle name="Input 16 26" xfId="2279"/>
    <cellStyle name="Input 16 27" xfId="2341"/>
    <cellStyle name="Input 16 28" xfId="2400"/>
    <cellStyle name="Input 16 29" xfId="2464"/>
    <cellStyle name="Input 16 3" xfId="762"/>
    <cellStyle name="Input 16 30" xfId="2523"/>
    <cellStyle name="Input 16 31" xfId="2581"/>
    <cellStyle name="Input 16 32" xfId="2645"/>
    <cellStyle name="Input 16 4" xfId="1051"/>
    <cellStyle name="Input 16 5" xfId="735"/>
    <cellStyle name="Input 16 6" xfId="1077"/>
    <cellStyle name="Input 16 7" xfId="707"/>
    <cellStyle name="Input 16 8" xfId="1103"/>
    <cellStyle name="Input 16 9" xfId="682"/>
    <cellStyle name="Input 2" xfId="507"/>
    <cellStyle name="Input 2 10" xfId="1152"/>
    <cellStyle name="Input 2 11" xfId="1224"/>
    <cellStyle name="Input 2 12" xfId="1301"/>
    <cellStyle name="Input 2 13" xfId="1378"/>
    <cellStyle name="Input 2 14" xfId="1476"/>
    <cellStyle name="Input 2 15" xfId="1551"/>
    <cellStyle name="Input 2 16" xfId="1627"/>
    <cellStyle name="Input 2 17" xfId="1700"/>
    <cellStyle name="Input 2 18" xfId="1847"/>
    <cellStyle name="Input 2 19" xfId="1819"/>
    <cellStyle name="Input 2 2" xfId="1020"/>
    <cellStyle name="Input 2 20" xfId="1886"/>
    <cellStyle name="Input 2 21" xfId="1948"/>
    <cellStyle name="Input 2 22" xfId="2034"/>
    <cellStyle name="Input 2 23" xfId="2095"/>
    <cellStyle name="Input 2 24" xfId="2158"/>
    <cellStyle name="Input 2 25" xfId="2220"/>
    <cellStyle name="Input 2 26" xfId="2280"/>
    <cellStyle name="Input 2 27" xfId="2407"/>
    <cellStyle name="Input 2 28" xfId="2379"/>
    <cellStyle name="Input 2 29" xfId="2442"/>
    <cellStyle name="Input 2 3" xfId="761"/>
    <cellStyle name="Input 2 30" xfId="2524"/>
    <cellStyle name="Input 2 31" xfId="2582"/>
    <cellStyle name="Input 2 32" xfId="2646"/>
    <cellStyle name="Input 2 4" xfId="1052"/>
    <cellStyle name="Input 2 5" xfId="734"/>
    <cellStyle name="Input 2 6" xfId="1078"/>
    <cellStyle name="Input 2 7" xfId="706"/>
    <cellStyle name="Input 2 8" xfId="1104"/>
    <cellStyle name="Input 2 9" xfId="689"/>
    <cellStyle name="Input 3" xfId="508"/>
    <cellStyle name="Input 3 10" xfId="1175"/>
    <cellStyle name="Input 3 11" xfId="1247"/>
    <cellStyle name="Input 3 12" xfId="1324"/>
    <cellStyle name="Input 3 13" xfId="1401"/>
    <cellStyle name="Input 3 14" xfId="1477"/>
    <cellStyle name="Input 3 15" xfId="1529"/>
    <cellStyle name="Input 3 16" xfId="1628"/>
    <cellStyle name="Input 3 17" xfId="1678"/>
    <cellStyle name="Input 3 18" xfId="1778"/>
    <cellStyle name="Input 3 19" xfId="1841"/>
    <cellStyle name="Input 3 2" xfId="1021"/>
    <cellStyle name="Input 3 20" xfId="1909"/>
    <cellStyle name="Input 3 21" xfId="1971"/>
    <cellStyle name="Input 3 22" xfId="2035"/>
    <cellStyle name="Input 3 23" xfId="2096"/>
    <cellStyle name="Input 3 24" xfId="2136"/>
    <cellStyle name="Input 3 25" xfId="2221"/>
    <cellStyle name="Input 3 26" xfId="2281"/>
    <cellStyle name="Input 3 27" xfId="2342"/>
    <cellStyle name="Input 3 28" xfId="2401"/>
    <cellStyle name="Input 3 29" xfId="2465"/>
    <cellStyle name="Input 3 3" xfId="760"/>
    <cellStyle name="Input 3 30" xfId="2525"/>
    <cellStyle name="Input 3 31" xfId="2583"/>
    <cellStyle name="Input 3 32" xfId="2647"/>
    <cellStyle name="Input 3 4" xfId="1053"/>
    <cellStyle name="Input 3 5" xfId="733"/>
    <cellStyle name="Input 3 6" xfId="1079"/>
    <cellStyle name="Input 3 7" xfId="705"/>
    <cellStyle name="Input 3 8" xfId="1096"/>
    <cellStyle name="Input 3 9" xfId="681"/>
    <cellStyle name="Input 4" xfId="509"/>
    <cellStyle name="Input 4 10" xfId="1176"/>
    <cellStyle name="Input 4 11" xfId="1248"/>
    <cellStyle name="Input 4 12" xfId="1325"/>
    <cellStyle name="Input 4 13" xfId="1402"/>
    <cellStyle name="Input 4 14" xfId="1478"/>
    <cellStyle name="Input 4 15" xfId="1552"/>
    <cellStyle name="Input 4 16" xfId="1629"/>
    <cellStyle name="Input 4 17" xfId="1701"/>
    <cellStyle name="Input 4 18" xfId="1779"/>
    <cellStyle name="Input 4 19" xfId="1842"/>
    <cellStyle name="Input 4 2" xfId="1022"/>
    <cellStyle name="Input 4 20" xfId="1910"/>
    <cellStyle name="Input 4 21" xfId="1972"/>
    <cellStyle name="Input 4 22" xfId="2036"/>
    <cellStyle name="Input 4 23" xfId="2097"/>
    <cellStyle name="Input 4 24" xfId="2159"/>
    <cellStyle name="Input 4 25" xfId="2222"/>
    <cellStyle name="Input 4 26" xfId="2346"/>
    <cellStyle name="Input 4 27" xfId="2343"/>
    <cellStyle name="Input 4 28" xfId="2402"/>
    <cellStyle name="Input 4 29" xfId="2466"/>
    <cellStyle name="Input 4 3" xfId="759"/>
    <cellStyle name="Input 4 30" xfId="2620"/>
    <cellStyle name="Input 4 31" xfId="2584"/>
    <cellStyle name="Input 4 32" xfId="2727"/>
    <cellStyle name="Input 4 4" xfId="1054"/>
    <cellStyle name="Input 4 5" xfId="732"/>
    <cellStyle name="Input 4 6" xfId="1080"/>
    <cellStyle name="Input 4 7" xfId="713"/>
    <cellStyle name="Input 4 8" xfId="1105"/>
    <cellStyle name="Input 4 9" xfId="680"/>
    <cellStyle name="Input 5" xfId="510"/>
    <cellStyle name="Input 5 10" xfId="1177"/>
    <cellStyle name="Input 5 11" xfId="1249"/>
    <cellStyle name="Input 5 12" xfId="1326"/>
    <cellStyle name="Input 5 13" xfId="1403"/>
    <cellStyle name="Input 5 14" xfId="1479"/>
    <cellStyle name="Input 5 15" xfId="1553"/>
    <cellStyle name="Input 5 16" xfId="1630"/>
    <cellStyle name="Input 5 17" xfId="1702"/>
    <cellStyle name="Input 5 18" xfId="1780"/>
    <cellStyle name="Input 5 19" xfId="1843"/>
    <cellStyle name="Input 5 2" xfId="1023"/>
    <cellStyle name="Input 5 20" xfId="1911"/>
    <cellStyle name="Input 5 21" xfId="1973"/>
    <cellStyle name="Input 5 22" xfId="2037"/>
    <cellStyle name="Input 5 23" xfId="2098"/>
    <cellStyle name="Input 5 24" xfId="2160"/>
    <cellStyle name="Input 5 25" xfId="2223"/>
    <cellStyle name="Input 5 26" xfId="2282"/>
    <cellStyle name="Input 5 27" xfId="2344"/>
    <cellStyle name="Input 5 28" xfId="2403"/>
    <cellStyle name="Input 5 29" xfId="2467"/>
    <cellStyle name="Input 5 3" xfId="758"/>
    <cellStyle name="Input 5 30" xfId="2621"/>
    <cellStyle name="Input 5 31" xfId="2585"/>
    <cellStyle name="Input 5 32" xfId="2728"/>
    <cellStyle name="Input 5 4" xfId="1055"/>
    <cellStyle name="Input 5 5" xfId="731"/>
    <cellStyle name="Input 5 6" xfId="1081"/>
    <cellStyle name="Input 5 7" xfId="704"/>
    <cellStyle name="Input 5 8" xfId="1106"/>
    <cellStyle name="Input 5 9" xfId="679"/>
    <cellStyle name="Input 6" xfId="511"/>
    <cellStyle name="Input 6 10" xfId="1256"/>
    <cellStyle name="Input 6 11" xfId="1250"/>
    <cellStyle name="Input 6 12" xfId="1327"/>
    <cellStyle name="Input 6 13" xfId="1404"/>
    <cellStyle name="Input 6 14" xfId="1480"/>
    <cellStyle name="Input 6 15" xfId="1554"/>
    <cellStyle name="Input 6 16" xfId="1631"/>
    <cellStyle name="Input 6 17" xfId="1703"/>
    <cellStyle name="Input 6 18" xfId="1781"/>
    <cellStyle name="Input 6 19" xfId="1844"/>
    <cellStyle name="Input 6 2" xfId="1024"/>
    <cellStyle name="Input 6 20" xfId="1912"/>
    <cellStyle name="Input 6 21" xfId="1974"/>
    <cellStyle name="Input 6 22" xfId="2038"/>
    <cellStyle name="Input 6 23" xfId="2099"/>
    <cellStyle name="Input 6 24" xfId="2161"/>
    <cellStyle name="Input 6 25" xfId="2224"/>
    <cellStyle name="Input 6 26" xfId="2283"/>
    <cellStyle name="Input 6 27" xfId="2345"/>
    <cellStyle name="Input 6 28" xfId="2404"/>
    <cellStyle name="Input 6 29" xfId="2526"/>
    <cellStyle name="Input 6 3" xfId="757"/>
    <cellStyle name="Input 6 30" xfId="2622"/>
    <cellStyle name="Input 6 31" xfId="2563"/>
    <cellStyle name="Input 6 32" xfId="2729"/>
    <cellStyle name="Input 6 4" xfId="1056"/>
    <cellStyle name="Input 6 5" xfId="730"/>
    <cellStyle name="Input 6 6" xfId="1082"/>
    <cellStyle name="Input 6 7" xfId="703"/>
    <cellStyle name="Input 6 8" xfId="1138"/>
    <cellStyle name="Input 6 9" xfId="678"/>
    <cellStyle name="Input 7" xfId="512"/>
    <cellStyle name="Input 7 10" xfId="1257"/>
    <cellStyle name="Input 7 11" xfId="1334"/>
    <cellStyle name="Input 7 12" xfId="1328"/>
    <cellStyle name="Input 7 13" xfId="1405"/>
    <cellStyle name="Input 7 14" xfId="1593"/>
    <cellStyle name="Input 7 15" xfId="1555"/>
    <cellStyle name="Input 7 16" xfId="1742"/>
    <cellStyle name="Input 7 17" xfId="1704"/>
    <cellStyle name="Input 7 18" xfId="1882"/>
    <cellStyle name="Input 7 19" xfId="1845"/>
    <cellStyle name="Input 7 2" xfId="1025"/>
    <cellStyle name="Input 7 20" xfId="1978"/>
    <cellStyle name="Input 7 21" xfId="1975"/>
    <cellStyle name="Input 7 22" xfId="2133"/>
    <cellStyle name="Input 7 23" xfId="2195"/>
    <cellStyle name="Input 7 24" xfId="2162"/>
    <cellStyle name="Input 7 25" xfId="2317"/>
    <cellStyle name="Input 7 26" xfId="2284"/>
    <cellStyle name="Input 7 27" xfId="2439"/>
    <cellStyle name="Input 7 28" xfId="2405"/>
    <cellStyle name="Input 7 29" xfId="2527"/>
    <cellStyle name="Input 7 3" xfId="756"/>
    <cellStyle name="Input 7 30" xfId="2795"/>
    <cellStyle name="Input 7 31" xfId="2586"/>
    <cellStyle name="Input 7 32" xfId="2730"/>
    <cellStyle name="Input 7 4" xfId="1057"/>
    <cellStyle name="Input 7 5" xfId="729"/>
    <cellStyle name="Input 7 6" xfId="1083"/>
    <cellStyle name="Input 7 7" xfId="702"/>
    <cellStyle name="Input 7 8" xfId="1139"/>
    <cellStyle name="Input 7 9" xfId="677"/>
    <cellStyle name="Input 8" xfId="513"/>
    <cellStyle name="Input 8 10" xfId="1258"/>
    <cellStyle name="Input 8 11" xfId="1366"/>
    <cellStyle name="Input 8 12" xfId="1442"/>
    <cellStyle name="Input 8 13" xfId="1517"/>
    <cellStyle name="Input 8 14" xfId="1594"/>
    <cellStyle name="Input 8 15" xfId="1556"/>
    <cellStyle name="Input 8 16" xfId="1743"/>
    <cellStyle name="Input 8 17" xfId="1705"/>
    <cellStyle name="Input 8 18" xfId="1883"/>
    <cellStyle name="Input 8 19" xfId="1846"/>
    <cellStyle name="Input 8 2" xfId="1026"/>
    <cellStyle name="Input 8 20" xfId="2010"/>
    <cellStyle name="Input 8 21" xfId="2071"/>
    <cellStyle name="Input 8 22" xfId="2134"/>
    <cellStyle name="Input 8 23" xfId="2196"/>
    <cellStyle name="Input 8 24" xfId="2163"/>
    <cellStyle name="Input 8 25" xfId="2318"/>
    <cellStyle name="Input 8 26" xfId="2285"/>
    <cellStyle name="Input 8 27" xfId="2440"/>
    <cellStyle name="Input 8 28" xfId="2406"/>
    <cellStyle name="Input 8 29" xfId="2559"/>
    <cellStyle name="Input 8 3" xfId="755"/>
    <cellStyle name="Input 8 30" xfId="2623"/>
    <cellStyle name="Input 8 31" xfId="2587"/>
    <cellStyle name="Input 8 32" xfId="2794"/>
    <cellStyle name="Input 8 4" xfId="670"/>
    <cellStyle name="Input 8 5" xfId="728"/>
    <cellStyle name="Input 8 6" xfId="1084"/>
    <cellStyle name="Input 8 7" xfId="701"/>
    <cellStyle name="Input 8 8" xfId="1140"/>
    <cellStyle name="Input 8 9" xfId="676"/>
    <cellStyle name="Input 9" xfId="514"/>
    <cellStyle name="Input 9 10" xfId="1290"/>
    <cellStyle name="Input 9 11" xfId="1367"/>
    <cellStyle name="Input 9 12" xfId="1443"/>
    <cellStyle name="Input 9 13" xfId="1518"/>
    <cellStyle name="Input 9 14" xfId="1595"/>
    <cellStyle name="Input 9 15" xfId="1668"/>
    <cellStyle name="Input 9 16" xfId="1744"/>
    <cellStyle name="Input 9 17" xfId="1818"/>
    <cellStyle name="Input 9 18" xfId="1884"/>
    <cellStyle name="Input 9 19" xfId="1947"/>
    <cellStyle name="Input 9 2" xfId="1027"/>
    <cellStyle name="Input 9 20" xfId="2011"/>
    <cellStyle name="Input 9 21" xfId="2072"/>
    <cellStyle name="Input 9 22" xfId="2135"/>
    <cellStyle name="Input 9 23" xfId="2197"/>
    <cellStyle name="Input 9 24" xfId="2258"/>
    <cellStyle name="Input 9 25" xfId="2319"/>
    <cellStyle name="Input 9 26" xfId="2378"/>
    <cellStyle name="Input 9 27" xfId="2441"/>
    <cellStyle name="Input 9 28" xfId="2470"/>
    <cellStyle name="Input 9 29" xfId="2560"/>
    <cellStyle name="Input 9 3" xfId="754"/>
    <cellStyle name="Input 9 30" xfId="2695"/>
    <cellStyle name="Input 9 31" xfId="2588"/>
    <cellStyle name="Input 9 32" xfId="2731"/>
    <cellStyle name="Input 9 4" xfId="1058"/>
    <cellStyle name="Input 9 5" xfId="727"/>
    <cellStyle name="Input 9 6" xfId="1085"/>
    <cellStyle name="Input 9 7" xfId="700"/>
    <cellStyle name="Input 9 8" xfId="1141"/>
    <cellStyle name="Input 9 9" xfId="675"/>
    <cellStyle name="Linked Cell 10" xfId="515"/>
    <cellStyle name="Linked Cell 11" xfId="516"/>
    <cellStyle name="Linked Cell 12" xfId="517"/>
    <cellStyle name="Linked Cell 13" xfId="518"/>
    <cellStyle name="Linked Cell 14" xfId="519"/>
    <cellStyle name="Linked Cell 15" xfId="520"/>
    <cellStyle name="Linked Cell 16" xfId="521"/>
    <cellStyle name="Linked Cell 2" xfId="522"/>
    <cellStyle name="Linked Cell 3" xfId="523"/>
    <cellStyle name="Linked Cell 4" xfId="524"/>
    <cellStyle name="Linked Cell 5" xfId="525"/>
    <cellStyle name="Linked Cell 6" xfId="526"/>
    <cellStyle name="Linked Cell 7" xfId="527"/>
    <cellStyle name="Linked Cell 8" xfId="528"/>
    <cellStyle name="Linked Cell 9" xfId="529"/>
    <cellStyle name="Neutral 10" xfId="530"/>
    <cellStyle name="Neutral 11" xfId="531"/>
    <cellStyle name="Neutral 12" xfId="532"/>
    <cellStyle name="Neutral 13" xfId="533"/>
    <cellStyle name="Neutral 14" xfId="534"/>
    <cellStyle name="Neutral 15" xfId="535"/>
    <cellStyle name="Neutral 16" xfId="536"/>
    <cellStyle name="Neutral 2" xfId="537"/>
    <cellStyle name="Neutral 3" xfId="538"/>
    <cellStyle name="Neutral 4" xfId="539"/>
    <cellStyle name="Neutral 5" xfId="540"/>
    <cellStyle name="Neutral 6" xfId="541"/>
    <cellStyle name="Neutral 7" xfId="542"/>
    <cellStyle name="Neutral 8" xfId="543"/>
    <cellStyle name="Neutral 9" xfId="544"/>
    <cellStyle name="Normal" xfId="0" builtinId="0"/>
    <cellStyle name="Normal 10" xfId="545"/>
    <cellStyle name="Normal 11" xfId="546"/>
    <cellStyle name="Normal 12" xfId="547"/>
    <cellStyle name="Normal 13" xfId="548"/>
    <cellStyle name="Normal 14" xfId="549"/>
    <cellStyle name="Normal 15" xfId="550"/>
    <cellStyle name="Normal 16" xfId="551"/>
    <cellStyle name="Normal 17" xfId="552"/>
    <cellStyle name="Normal 18" xfId="553"/>
    <cellStyle name="Normal 19" xfId="554"/>
    <cellStyle name="Normal 2" xfId="2"/>
    <cellStyle name="Normal 2 10" xfId="556"/>
    <cellStyle name="Normal 2 11" xfId="557"/>
    <cellStyle name="Normal 2 12" xfId="558"/>
    <cellStyle name="Normal 2 13" xfId="559"/>
    <cellStyle name="Normal 2 14" xfId="560"/>
    <cellStyle name="Normal 2 15" xfId="561"/>
    <cellStyle name="Normal 2 16" xfId="562"/>
    <cellStyle name="Normal 2 17" xfId="563"/>
    <cellStyle name="Normal 2 18" xfId="555"/>
    <cellStyle name="Normal 2 19" xfId="2936"/>
    <cellStyle name="Normal 2 2" xfId="564"/>
    <cellStyle name="Normal 2 2 2" xfId="565"/>
    <cellStyle name="Normal 2 2 3" xfId="2934"/>
    <cellStyle name="Normal 2 3" xfId="566"/>
    <cellStyle name="Normal 2 4" xfId="567"/>
    <cellStyle name="Normal 2 5" xfId="568"/>
    <cellStyle name="Normal 2 6" xfId="569"/>
    <cellStyle name="Normal 2 7" xfId="570"/>
    <cellStyle name="Normal 2 8" xfId="571"/>
    <cellStyle name="Normal 2 9" xfId="572"/>
    <cellStyle name="Normal 20" xfId="3"/>
    <cellStyle name="Normal 20 2" xfId="573"/>
    <cellStyle name="Normal 21" xfId="574"/>
    <cellStyle name="Normal 22" xfId="575"/>
    <cellStyle name="Normal 23" xfId="576"/>
    <cellStyle name="Normal 24" xfId="577"/>
    <cellStyle name="Normal 25" xfId="578"/>
    <cellStyle name="Normal 26" xfId="579"/>
    <cellStyle name="Normal 27" xfId="580"/>
    <cellStyle name="Normal 28" xfId="581"/>
    <cellStyle name="Normal 29" xfId="1"/>
    <cellStyle name="Normal 3" xfId="4"/>
    <cellStyle name="Normal 3 2" xfId="582"/>
    <cellStyle name="Normal 3 3" xfId="2935"/>
    <cellStyle name="Normal 30" xfId="3029"/>
    <cellStyle name="Normal 31" xfId="3031"/>
    <cellStyle name="Normal 4" xfId="583"/>
    <cellStyle name="Normal 4 2" xfId="584"/>
    <cellStyle name="Normal 5" xfId="585"/>
    <cellStyle name="Normal 6" xfId="586"/>
    <cellStyle name="Normal 6 2" xfId="587"/>
    <cellStyle name="Normal 7" xfId="588"/>
    <cellStyle name="Normal 7 2" xfId="589"/>
    <cellStyle name="Normal 8" xfId="590"/>
    <cellStyle name="Normal 8 2" xfId="591"/>
    <cellStyle name="Normal 9" xfId="592"/>
    <cellStyle name="Normal 9 2" xfId="593"/>
    <cellStyle name="Note 10" xfId="594"/>
    <cellStyle name="Note 10 10" xfId="1711"/>
    <cellStyle name="Note 10 11" xfId="1787"/>
    <cellStyle name="Note 10 12" xfId="1851"/>
    <cellStyle name="Note 10 13" xfId="1916"/>
    <cellStyle name="Note 10 14" xfId="1979"/>
    <cellStyle name="Note 10 15" xfId="2040"/>
    <cellStyle name="Note 10 16" xfId="2102"/>
    <cellStyle name="Note 10 17" xfId="2164"/>
    <cellStyle name="Note 10 18" xfId="2227"/>
    <cellStyle name="Note 10 19" xfId="2286"/>
    <cellStyle name="Note 10 2" xfId="1107"/>
    <cellStyle name="Note 10 20" xfId="2347"/>
    <cellStyle name="Note 10 21" xfId="2408"/>
    <cellStyle name="Note 10 22" xfId="2471"/>
    <cellStyle name="Note 10 23" xfId="2528"/>
    <cellStyle name="Note 10 24" xfId="2589"/>
    <cellStyle name="Note 10 25" xfId="2649"/>
    <cellStyle name="Note 10 26" xfId="2696"/>
    <cellStyle name="Note 10 27" xfId="2748"/>
    <cellStyle name="Note 10 28" xfId="2796"/>
    <cellStyle name="Note 10 29" xfId="2842"/>
    <cellStyle name="Note 10 3" xfId="1183"/>
    <cellStyle name="Note 10 30" xfId="2888"/>
    <cellStyle name="Note 10 31" xfId="2937"/>
    <cellStyle name="Note 10 32" xfId="2983"/>
    <cellStyle name="Note 10 4" xfId="1259"/>
    <cellStyle name="Note 10 5" xfId="1335"/>
    <cellStyle name="Note 10 6" xfId="1411"/>
    <cellStyle name="Note 10 7" xfId="1486"/>
    <cellStyle name="Note 10 8" xfId="1562"/>
    <cellStyle name="Note 10 9" xfId="1637"/>
    <cellStyle name="Note 11" xfId="595"/>
    <cellStyle name="Note 11 10" xfId="1712"/>
    <cellStyle name="Note 11 11" xfId="1788"/>
    <cellStyle name="Note 11 12" xfId="1852"/>
    <cellStyle name="Note 11 13" xfId="1917"/>
    <cellStyle name="Note 11 14" xfId="1980"/>
    <cellStyle name="Note 11 15" xfId="2041"/>
    <cellStyle name="Note 11 16" xfId="2103"/>
    <cellStyle name="Note 11 17" xfId="2165"/>
    <cellStyle name="Note 11 18" xfId="2228"/>
    <cellStyle name="Note 11 19" xfId="2287"/>
    <cellStyle name="Note 11 2" xfId="1108"/>
    <cellStyle name="Note 11 20" xfId="2348"/>
    <cellStyle name="Note 11 21" xfId="2409"/>
    <cellStyle name="Note 11 22" xfId="2472"/>
    <cellStyle name="Note 11 23" xfId="2529"/>
    <cellStyle name="Note 11 24" xfId="2590"/>
    <cellStyle name="Note 11 25" xfId="2650"/>
    <cellStyle name="Note 11 26" xfId="2697"/>
    <cellStyle name="Note 11 27" xfId="2749"/>
    <cellStyle name="Note 11 28" xfId="2797"/>
    <cellStyle name="Note 11 29" xfId="2843"/>
    <cellStyle name="Note 11 3" xfId="1184"/>
    <cellStyle name="Note 11 30" xfId="2889"/>
    <cellStyle name="Note 11 31" xfId="2938"/>
    <cellStyle name="Note 11 32" xfId="2984"/>
    <cellStyle name="Note 11 4" xfId="1260"/>
    <cellStyle name="Note 11 5" xfId="1336"/>
    <cellStyle name="Note 11 6" xfId="1412"/>
    <cellStyle name="Note 11 7" xfId="1487"/>
    <cellStyle name="Note 11 8" xfId="1563"/>
    <cellStyle name="Note 11 9" xfId="1638"/>
    <cellStyle name="Note 12" xfId="596"/>
    <cellStyle name="Note 12 10" xfId="1713"/>
    <cellStyle name="Note 12 11" xfId="1789"/>
    <cellStyle name="Note 12 12" xfId="1853"/>
    <cellStyle name="Note 12 13" xfId="1918"/>
    <cellStyle name="Note 12 14" xfId="1981"/>
    <cellStyle name="Note 12 15" xfId="2042"/>
    <cellStyle name="Note 12 16" xfId="2104"/>
    <cellStyle name="Note 12 17" xfId="2166"/>
    <cellStyle name="Note 12 18" xfId="2229"/>
    <cellStyle name="Note 12 19" xfId="2288"/>
    <cellStyle name="Note 12 2" xfId="1109"/>
    <cellStyle name="Note 12 20" xfId="2349"/>
    <cellStyle name="Note 12 21" xfId="2410"/>
    <cellStyle name="Note 12 22" xfId="2473"/>
    <cellStyle name="Note 12 23" xfId="2530"/>
    <cellStyle name="Note 12 24" xfId="2591"/>
    <cellStyle name="Note 12 25" xfId="2651"/>
    <cellStyle name="Note 12 26" xfId="2698"/>
    <cellStyle name="Note 12 27" xfId="2750"/>
    <cellStyle name="Note 12 28" xfId="2798"/>
    <cellStyle name="Note 12 29" xfId="2844"/>
    <cellStyle name="Note 12 3" xfId="1185"/>
    <cellStyle name="Note 12 30" xfId="2890"/>
    <cellStyle name="Note 12 31" xfId="2939"/>
    <cellStyle name="Note 12 32" xfId="2985"/>
    <cellStyle name="Note 12 4" xfId="1261"/>
    <cellStyle name="Note 12 5" xfId="1337"/>
    <cellStyle name="Note 12 6" xfId="1413"/>
    <cellStyle name="Note 12 7" xfId="1488"/>
    <cellStyle name="Note 12 8" xfId="1564"/>
    <cellStyle name="Note 12 9" xfId="1639"/>
    <cellStyle name="Note 13" xfId="597"/>
    <cellStyle name="Note 13 10" xfId="1714"/>
    <cellStyle name="Note 13 11" xfId="1790"/>
    <cellStyle name="Note 13 12" xfId="1854"/>
    <cellStyle name="Note 13 13" xfId="1919"/>
    <cellStyle name="Note 13 14" xfId="1982"/>
    <cellStyle name="Note 13 15" xfId="2043"/>
    <cellStyle name="Note 13 16" xfId="2105"/>
    <cellStyle name="Note 13 17" xfId="2167"/>
    <cellStyle name="Note 13 18" xfId="2230"/>
    <cellStyle name="Note 13 19" xfId="2289"/>
    <cellStyle name="Note 13 2" xfId="1110"/>
    <cellStyle name="Note 13 20" xfId="2350"/>
    <cellStyle name="Note 13 21" xfId="2411"/>
    <cellStyle name="Note 13 22" xfId="2474"/>
    <cellStyle name="Note 13 23" xfId="2531"/>
    <cellStyle name="Note 13 24" xfId="2592"/>
    <cellStyle name="Note 13 25" xfId="2652"/>
    <cellStyle name="Note 13 26" xfId="2699"/>
    <cellStyle name="Note 13 27" xfId="2751"/>
    <cellStyle name="Note 13 28" xfId="2799"/>
    <cellStyle name="Note 13 29" xfId="2845"/>
    <cellStyle name="Note 13 3" xfId="1186"/>
    <cellStyle name="Note 13 30" xfId="2891"/>
    <cellStyle name="Note 13 31" xfId="2940"/>
    <cellStyle name="Note 13 32" xfId="2986"/>
    <cellStyle name="Note 13 4" xfId="1262"/>
    <cellStyle name="Note 13 5" xfId="1338"/>
    <cellStyle name="Note 13 6" xfId="1414"/>
    <cellStyle name="Note 13 7" xfId="1489"/>
    <cellStyle name="Note 13 8" xfId="1565"/>
    <cellStyle name="Note 13 9" xfId="1640"/>
    <cellStyle name="Note 14" xfId="598"/>
    <cellStyle name="Note 14 10" xfId="1715"/>
    <cellStyle name="Note 14 11" xfId="1791"/>
    <cellStyle name="Note 14 12" xfId="1855"/>
    <cellStyle name="Note 14 13" xfId="1920"/>
    <cellStyle name="Note 14 14" xfId="1983"/>
    <cellStyle name="Note 14 15" xfId="2044"/>
    <cellStyle name="Note 14 16" xfId="2106"/>
    <cellStyle name="Note 14 17" xfId="2168"/>
    <cellStyle name="Note 14 18" xfId="2231"/>
    <cellStyle name="Note 14 19" xfId="2290"/>
    <cellStyle name="Note 14 2" xfId="1111"/>
    <cellStyle name="Note 14 20" xfId="2351"/>
    <cellStyle name="Note 14 21" xfId="2412"/>
    <cellStyle name="Note 14 22" xfId="2475"/>
    <cellStyle name="Note 14 23" xfId="2532"/>
    <cellStyle name="Note 14 24" xfId="2593"/>
    <cellStyle name="Note 14 25" xfId="2653"/>
    <cellStyle name="Note 14 26" xfId="2700"/>
    <cellStyle name="Note 14 27" xfId="2752"/>
    <cellStyle name="Note 14 28" xfId="2800"/>
    <cellStyle name="Note 14 29" xfId="2846"/>
    <cellStyle name="Note 14 3" xfId="1187"/>
    <cellStyle name="Note 14 30" xfId="2892"/>
    <cellStyle name="Note 14 31" xfId="2941"/>
    <cellStyle name="Note 14 32" xfId="2987"/>
    <cellStyle name="Note 14 4" xfId="1263"/>
    <cellStyle name="Note 14 5" xfId="1339"/>
    <cellStyle name="Note 14 6" xfId="1415"/>
    <cellStyle name="Note 14 7" xfId="1490"/>
    <cellStyle name="Note 14 8" xfId="1566"/>
    <cellStyle name="Note 14 9" xfId="1641"/>
    <cellStyle name="Note 15" xfId="599"/>
    <cellStyle name="Note 15 10" xfId="1716"/>
    <cellStyle name="Note 15 11" xfId="1792"/>
    <cellStyle name="Note 15 12" xfId="1856"/>
    <cellStyle name="Note 15 13" xfId="1921"/>
    <cellStyle name="Note 15 14" xfId="1984"/>
    <cellStyle name="Note 15 15" xfId="2045"/>
    <cellStyle name="Note 15 16" xfId="2107"/>
    <cellStyle name="Note 15 17" xfId="2169"/>
    <cellStyle name="Note 15 18" xfId="2232"/>
    <cellStyle name="Note 15 19" xfId="2291"/>
    <cellStyle name="Note 15 2" xfId="1112"/>
    <cellStyle name="Note 15 20" xfId="2352"/>
    <cellStyle name="Note 15 21" xfId="2413"/>
    <cellStyle name="Note 15 22" xfId="2476"/>
    <cellStyle name="Note 15 23" xfId="2533"/>
    <cellStyle name="Note 15 24" xfId="2594"/>
    <cellStyle name="Note 15 25" xfId="2654"/>
    <cellStyle name="Note 15 26" xfId="2701"/>
    <cellStyle name="Note 15 27" xfId="2753"/>
    <cellStyle name="Note 15 28" xfId="2801"/>
    <cellStyle name="Note 15 29" xfId="2847"/>
    <cellStyle name="Note 15 3" xfId="1188"/>
    <cellStyle name="Note 15 30" xfId="2893"/>
    <cellStyle name="Note 15 31" xfId="2942"/>
    <cellStyle name="Note 15 32" xfId="2988"/>
    <cellStyle name="Note 15 4" xfId="1264"/>
    <cellStyle name="Note 15 5" xfId="1340"/>
    <cellStyle name="Note 15 6" xfId="1416"/>
    <cellStyle name="Note 15 7" xfId="1491"/>
    <cellStyle name="Note 15 8" xfId="1567"/>
    <cellStyle name="Note 15 9" xfId="1642"/>
    <cellStyle name="Note 16" xfId="600"/>
    <cellStyle name="Note 16 10" xfId="1717"/>
    <cellStyle name="Note 16 11" xfId="1793"/>
    <cellStyle name="Note 16 12" xfId="1857"/>
    <cellStyle name="Note 16 13" xfId="1922"/>
    <cellStyle name="Note 16 14" xfId="1985"/>
    <cellStyle name="Note 16 15" xfId="2046"/>
    <cellStyle name="Note 16 16" xfId="2108"/>
    <cellStyle name="Note 16 17" xfId="2170"/>
    <cellStyle name="Note 16 18" xfId="2233"/>
    <cellStyle name="Note 16 19" xfId="2292"/>
    <cellStyle name="Note 16 2" xfId="1113"/>
    <cellStyle name="Note 16 20" xfId="2353"/>
    <cellStyle name="Note 16 21" xfId="2414"/>
    <cellStyle name="Note 16 22" xfId="2477"/>
    <cellStyle name="Note 16 23" xfId="2534"/>
    <cellStyle name="Note 16 24" xfId="2595"/>
    <cellStyle name="Note 16 25" xfId="2655"/>
    <cellStyle name="Note 16 26" xfId="2702"/>
    <cellStyle name="Note 16 27" xfId="2754"/>
    <cellStyle name="Note 16 28" xfId="2802"/>
    <cellStyle name="Note 16 29" xfId="2848"/>
    <cellStyle name="Note 16 3" xfId="1189"/>
    <cellStyle name="Note 16 30" xfId="2894"/>
    <cellStyle name="Note 16 31" xfId="2943"/>
    <cellStyle name="Note 16 32" xfId="2989"/>
    <cellStyle name="Note 16 4" xfId="1265"/>
    <cellStyle name="Note 16 5" xfId="1341"/>
    <cellStyle name="Note 16 6" xfId="1417"/>
    <cellStyle name="Note 16 7" xfId="1492"/>
    <cellStyle name="Note 16 8" xfId="1568"/>
    <cellStyle name="Note 16 9" xfId="1643"/>
    <cellStyle name="Note 17" xfId="601"/>
    <cellStyle name="Note 17 10" xfId="1718"/>
    <cellStyle name="Note 17 11" xfId="1794"/>
    <cellStyle name="Note 17 12" xfId="1858"/>
    <cellStyle name="Note 17 13" xfId="1923"/>
    <cellStyle name="Note 17 14" xfId="1986"/>
    <cellStyle name="Note 17 15" xfId="2047"/>
    <cellStyle name="Note 17 16" xfId="2109"/>
    <cellStyle name="Note 17 17" xfId="2171"/>
    <cellStyle name="Note 17 18" xfId="2234"/>
    <cellStyle name="Note 17 19" xfId="2293"/>
    <cellStyle name="Note 17 2" xfId="1114"/>
    <cellStyle name="Note 17 20" xfId="2354"/>
    <cellStyle name="Note 17 21" xfId="2415"/>
    <cellStyle name="Note 17 22" xfId="2478"/>
    <cellStyle name="Note 17 23" xfId="2535"/>
    <cellStyle name="Note 17 24" xfId="2596"/>
    <cellStyle name="Note 17 25" xfId="2656"/>
    <cellStyle name="Note 17 26" xfId="2703"/>
    <cellStyle name="Note 17 27" xfId="2755"/>
    <cellStyle name="Note 17 28" xfId="2803"/>
    <cellStyle name="Note 17 29" xfId="2849"/>
    <cellStyle name="Note 17 3" xfId="1190"/>
    <cellStyle name="Note 17 30" xfId="2895"/>
    <cellStyle name="Note 17 31" xfId="2944"/>
    <cellStyle name="Note 17 32" xfId="2990"/>
    <cellStyle name="Note 17 4" xfId="1266"/>
    <cellStyle name="Note 17 5" xfId="1342"/>
    <cellStyle name="Note 17 6" xfId="1418"/>
    <cellStyle name="Note 17 7" xfId="1493"/>
    <cellStyle name="Note 17 8" xfId="1569"/>
    <cellStyle name="Note 17 9" xfId="1644"/>
    <cellStyle name="Note 2" xfId="602"/>
    <cellStyle name="Note 2 10" xfId="1719"/>
    <cellStyle name="Note 2 11" xfId="1795"/>
    <cellStyle name="Note 2 12" xfId="1859"/>
    <cellStyle name="Note 2 13" xfId="1924"/>
    <cellStyle name="Note 2 14" xfId="1987"/>
    <cellStyle name="Note 2 15" xfId="2048"/>
    <cellStyle name="Note 2 16" xfId="2110"/>
    <cellStyle name="Note 2 17" xfId="2172"/>
    <cellStyle name="Note 2 18" xfId="2235"/>
    <cellStyle name="Note 2 19" xfId="2294"/>
    <cellStyle name="Note 2 2" xfId="1115"/>
    <cellStyle name="Note 2 20" xfId="2355"/>
    <cellStyle name="Note 2 21" xfId="2416"/>
    <cellStyle name="Note 2 22" xfId="2479"/>
    <cellStyle name="Note 2 23" xfId="2536"/>
    <cellStyle name="Note 2 24" xfId="2597"/>
    <cellStyle name="Note 2 25" xfId="2657"/>
    <cellStyle name="Note 2 26" xfId="2704"/>
    <cellStyle name="Note 2 27" xfId="2756"/>
    <cellStyle name="Note 2 28" xfId="2804"/>
    <cellStyle name="Note 2 29" xfId="2850"/>
    <cellStyle name="Note 2 3" xfId="1191"/>
    <cellStyle name="Note 2 30" xfId="2896"/>
    <cellStyle name="Note 2 31" xfId="2945"/>
    <cellStyle name="Note 2 32" xfId="2991"/>
    <cellStyle name="Note 2 4" xfId="1267"/>
    <cellStyle name="Note 2 5" xfId="1343"/>
    <cellStyle name="Note 2 6" xfId="1419"/>
    <cellStyle name="Note 2 7" xfId="1494"/>
    <cellStyle name="Note 2 8" xfId="1570"/>
    <cellStyle name="Note 2 9" xfId="1645"/>
    <cellStyle name="Note 3" xfId="603"/>
    <cellStyle name="Note 3 10" xfId="1720"/>
    <cellStyle name="Note 3 11" xfId="1796"/>
    <cellStyle name="Note 3 12" xfId="1860"/>
    <cellStyle name="Note 3 13" xfId="1925"/>
    <cellStyle name="Note 3 14" xfId="1988"/>
    <cellStyle name="Note 3 15" xfId="2049"/>
    <cellStyle name="Note 3 16" xfId="2111"/>
    <cellStyle name="Note 3 17" xfId="2173"/>
    <cellStyle name="Note 3 18" xfId="2236"/>
    <cellStyle name="Note 3 19" xfId="2295"/>
    <cellStyle name="Note 3 2" xfId="1116"/>
    <cellStyle name="Note 3 20" xfId="2356"/>
    <cellStyle name="Note 3 21" xfId="2417"/>
    <cellStyle name="Note 3 22" xfId="2480"/>
    <cellStyle name="Note 3 23" xfId="2537"/>
    <cellStyle name="Note 3 24" xfId="2598"/>
    <cellStyle name="Note 3 25" xfId="2658"/>
    <cellStyle name="Note 3 26" xfId="2705"/>
    <cellStyle name="Note 3 27" xfId="2757"/>
    <cellStyle name="Note 3 28" xfId="2805"/>
    <cellStyle name="Note 3 29" xfId="2851"/>
    <cellStyle name="Note 3 3" xfId="1192"/>
    <cellStyle name="Note 3 30" xfId="2897"/>
    <cellStyle name="Note 3 31" xfId="2946"/>
    <cellStyle name="Note 3 32" xfId="2992"/>
    <cellStyle name="Note 3 4" xfId="1268"/>
    <cellStyle name="Note 3 5" xfId="1344"/>
    <cellStyle name="Note 3 6" xfId="1420"/>
    <cellStyle name="Note 3 7" xfId="1495"/>
    <cellStyle name="Note 3 8" xfId="1571"/>
    <cellStyle name="Note 3 9" xfId="1646"/>
    <cellStyle name="Note 4" xfId="604"/>
    <cellStyle name="Note 4 10" xfId="1721"/>
    <cellStyle name="Note 4 11" xfId="1797"/>
    <cellStyle name="Note 4 12" xfId="1861"/>
    <cellStyle name="Note 4 13" xfId="1926"/>
    <cellStyle name="Note 4 14" xfId="1989"/>
    <cellStyle name="Note 4 15" xfId="2050"/>
    <cellStyle name="Note 4 16" xfId="2112"/>
    <cellStyle name="Note 4 17" xfId="2174"/>
    <cellStyle name="Note 4 18" xfId="2237"/>
    <cellStyle name="Note 4 19" xfId="2296"/>
    <cellStyle name="Note 4 2" xfId="1117"/>
    <cellStyle name="Note 4 20" xfId="2357"/>
    <cellStyle name="Note 4 21" xfId="2418"/>
    <cellStyle name="Note 4 22" xfId="2481"/>
    <cellStyle name="Note 4 23" xfId="2538"/>
    <cellStyle name="Note 4 24" xfId="2599"/>
    <cellStyle name="Note 4 25" xfId="2659"/>
    <cellStyle name="Note 4 26" xfId="2706"/>
    <cellStyle name="Note 4 27" xfId="2758"/>
    <cellStyle name="Note 4 28" xfId="2806"/>
    <cellStyle name="Note 4 29" xfId="2852"/>
    <cellStyle name="Note 4 3" xfId="1193"/>
    <cellStyle name="Note 4 30" xfId="2898"/>
    <cellStyle name="Note 4 31" xfId="2947"/>
    <cellStyle name="Note 4 32" xfId="2993"/>
    <cellStyle name="Note 4 4" xfId="1269"/>
    <cellStyle name="Note 4 5" xfId="1345"/>
    <cellStyle name="Note 4 6" xfId="1421"/>
    <cellStyle name="Note 4 7" xfId="1496"/>
    <cellStyle name="Note 4 8" xfId="1572"/>
    <cellStyle name="Note 4 9" xfId="1647"/>
    <cellStyle name="Note 5" xfId="605"/>
    <cellStyle name="Note 5 10" xfId="1722"/>
    <cellStyle name="Note 5 11" xfId="1798"/>
    <cellStyle name="Note 5 12" xfId="1862"/>
    <cellStyle name="Note 5 13" xfId="1927"/>
    <cellStyle name="Note 5 14" xfId="1990"/>
    <cellStyle name="Note 5 15" xfId="2051"/>
    <cellStyle name="Note 5 16" xfId="2113"/>
    <cellStyle name="Note 5 17" xfId="2175"/>
    <cellStyle name="Note 5 18" xfId="2238"/>
    <cellStyle name="Note 5 19" xfId="2297"/>
    <cellStyle name="Note 5 2" xfId="1118"/>
    <cellStyle name="Note 5 20" xfId="2358"/>
    <cellStyle name="Note 5 21" xfId="2419"/>
    <cellStyle name="Note 5 22" xfId="2482"/>
    <cellStyle name="Note 5 23" xfId="2539"/>
    <cellStyle name="Note 5 24" xfId="2600"/>
    <cellStyle name="Note 5 25" xfId="2660"/>
    <cellStyle name="Note 5 26" xfId="2707"/>
    <cellStyle name="Note 5 27" xfId="2759"/>
    <cellStyle name="Note 5 28" xfId="2807"/>
    <cellStyle name="Note 5 29" xfId="2853"/>
    <cellStyle name="Note 5 3" xfId="1194"/>
    <cellStyle name="Note 5 30" xfId="2899"/>
    <cellStyle name="Note 5 31" xfId="2948"/>
    <cellStyle name="Note 5 32" xfId="2994"/>
    <cellStyle name="Note 5 4" xfId="1270"/>
    <cellStyle name="Note 5 5" xfId="1346"/>
    <cellStyle name="Note 5 6" xfId="1422"/>
    <cellStyle name="Note 5 7" xfId="1497"/>
    <cellStyle name="Note 5 8" xfId="1573"/>
    <cellStyle name="Note 5 9" xfId="1648"/>
    <cellStyle name="Note 6" xfId="606"/>
    <cellStyle name="Note 6 10" xfId="1723"/>
    <cellStyle name="Note 6 11" xfId="1799"/>
    <cellStyle name="Note 6 12" xfId="1863"/>
    <cellStyle name="Note 6 13" xfId="1928"/>
    <cellStyle name="Note 6 14" xfId="1991"/>
    <cellStyle name="Note 6 15" xfId="2052"/>
    <cellStyle name="Note 6 16" xfId="2114"/>
    <cellStyle name="Note 6 17" xfId="2176"/>
    <cellStyle name="Note 6 18" xfId="2239"/>
    <cellStyle name="Note 6 19" xfId="2298"/>
    <cellStyle name="Note 6 2" xfId="1119"/>
    <cellStyle name="Note 6 20" xfId="2359"/>
    <cellStyle name="Note 6 21" xfId="2420"/>
    <cellStyle name="Note 6 22" xfId="2483"/>
    <cellStyle name="Note 6 23" xfId="2540"/>
    <cellStyle name="Note 6 24" xfId="2601"/>
    <cellStyle name="Note 6 25" xfId="2661"/>
    <cellStyle name="Note 6 26" xfId="2708"/>
    <cellStyle name="Note 6 27" xfId="2760"/>
    <cellStyle name="Note 6 28" xfId="2808"/>
    <cellStyle name="Note 6 29" xfId="2854"/>
    <cellStyle name="Note 6 3" xfId="1195"/>
    <cellStyle name="Note 6 30" xfId="2900"/>
    <cellStyle name="Note 6 31" xfId="2949"/>
    <cellStyle name="Note 6 32" xfId="2995"/>
    <cellStyle name="Note 6 4" xfId="1271"/>
    <cellStyle name="Note 6 5" xfId="1347"/>
    <cellStyle name="Note 6 6" xfId="1423"/>
    <cellStyle name="Note 6 7" xfId="1498"/>
    <cellStyle name="Note 6 8" xfId="1574"/>
    <cellStyle name="Note 6 9" xfId="1649"/>
    <cellStyle name="Note 7" xfId="607"/>
    <cellStyle name="Note 7 10" xfId="1724"/>
    <cellStyle name="Note 7 11" xfId="1800"/>
    <cellStyle name="Note 7 12" xfId="1864"/>
    <cellStyle name="Note 7 13" xfId="1929"/>
    <cellStyle name="Note 7 14" xfId="1992"/>
    <cellStyle name="Note 7 15" xfId="2053"/>
    <cellStyle name="Note 7 16" xfId="2115"/>
    <cellStyle name="Note 7 17" xfId="2177"/>
    <cellStyle name="Note 7 18" xfId="2240"/>
    <cellStyle name="Note 7 19" xfId="2299"/>
    <cellStyle name="Note 7 2" xfId="1120"/>
    <cellStyle name="Note 7 20" xfId="2360"/>
    <cellStyle name="Note 7 21" xfId="2421"/>
    <cellStyle name="Note 7 22" xfId="2484"/>
    <cellStyle name="Note 7 23" xfId="2541"/>
    <cellStyle name="Note 7 24" xfId="2602"/>
    <cellStyle name="Note 7 25" xfId="2662"/>
    <cellStyle name="Note 7 26" xfId="2709"/>
    <cellStyle name="Note 7 27" xfId="2761"/>
    <cellStyle name="Note 7 28" xfId="2809"/>
    <cellStyle name="Note 7 29" xfId="2855"/>
    <cellStyle name="Note 7 3" xfId="1196"/>
    <cellStyle name="Note 7 30" xfId="2901"/>
    <cellStyle name="Note 7 31" xfId="2950"/>
    <cellStyle name="Note 7 32" xfId="2996"/>
    <cellStyle name="Note 7 4" xfId="1272"/>
    <cellStyle name="Note 7 5" xfId="1348"/>
    <cellStyle name="Note 7 6" xfId="1424"/>
    <cellStyle name="Note 7 7" xfId="1499"/>
    <cellStyle name="Note 7 8" xfId="1575"/>
    <cellStyle name="Note 7 9" xfId="1650"/>
    <cellStyle name="Note 8" xfId="608"/>
    <cellStyle name="Note 8 10" xfId="1725"/>
    <cellStyle name="Note 8 11" xfId="1801"/>
    <cellStyle name="Note 8 12" xfId="1865"/>
    <cellStyle name="Note 8 13" xfId="1930"/>
    <cellStyle name="Note 8 14" xfId="1993"/>
    <cellStyle name="Note 8 15" xfId="2054"/>
    <cellStyle name="Note 8 16" xfId="2116"/>
    <cellStyle name="Note 8 17" xfId="2178"/>
    <cellStyle name="Note 8 18" xfId="2241"/>
    <cellStyle name="Note 8 19" xfId="2300"/>
    <cellStyle name="Note 8 2" xfId="1121"/>
    <cellStyle name="Note 8 20" xfId="2361"/>
    <cellStyle name="Note 8 21" xfId="2422"/>
    <cellStyle name="Note 8 22" xfId="2485"/>
    <cellStyle name="Note 8 23" xfId="2542"/>
    <cellStyle name="Note 8 24" xfId="2603"/>
    <cellStyle name="Note 8 25" xfId="2663"/>
    <cellStyle name="Note 8 26" xfId="2710"/>
    <cellStyle name="Note 8 27" xfId="2762"/>
    <cellStyle name="Note 8 28" xfId="2810"/>
    <cellStyle name="Note 8 29" xfId="2856"/>
    <cellStyle name="Note 8 3" xfId="1197"/>
    <cellStyle name="Note 8 30" xfId="2902"/>
    <cellStyle name="Note 8 31" xfId="2951"/>
    <cellStyle name="Note 8 32" xfId="2997"/>
    <cellStyle name="Note 8 4" xfId="1273"/>
    <cellStyle name="Note 8 5" xfId="1349"/>
    <cellStyle name="Note 8 6" xfId="1425"/>
    <cellStyle name="Note 8 7" xfId="1500"/>
    <cellStyle name="Note 8 8" xfId="1576"/>
    <cellStyle name="Note 8 9" xfId="1651"/>
    <cellStyle name="Note 9" xfId="609"/>
    <cellStyle name="Note 9 10" xfId="1726"/>
    <cellStyle name="Note 9 11" xfId="1802"/>
    <cellStyle name="Note 9 12" xfId="1866"/>
    <cellStyle name="Note 9 13" xfId="1931"/>
    <cellStyle name="Note 9 14" xfId="1994"/>
    <cellStyle name="Note 9 15" xfId="2055"/>
    <cellStyle name="Note 9 16" xfId="2117"/>
    <cellStyle name="Note 9 17" xfId="2179"/>
    <cellStyle name="Note 9 18" xfId="2242"/>
    <cellStyle name="Note 9 19" xfId="2301"/>
    <cellStyle name="Note 9 2" xfId="1122"/>
    <cellStyle name="Note 9 20" xfId="2362"/>
    <cellStyle name="Note 9 21" xfId="2423"/>
    <cellStyle name="Note 9 22" xfId="2486"/>
    <cellStyle name="Note 9 23" xfId="2543"/>
    <cellStyle name="Note 9 24" xfId="2604"/>
    <cellStyle name="Note 9 25" xfId="2664"/>
    <cellStyle name="Note 9 26" xfId="2711"/>
    <cellStyle name="Note 9 27" xfId="2763"/>
    <cellStyle name="Note 9 28" xfId="2811"/>
    <cellStyle name="Note 9 29" xfId="2857"/>
    <cellStyle name="Note 9 3" xfId="1198"/>
    <cellStyle name="Note 9 30" xfId="2903"/>
    <cellStyle name="Note 9 31" xfId="2952"/>
    <cellStyle name="Note 9 32" xfId="2998"/>
    <cellStyle name="Note 9 4" xfId="1274"/>
    <cellStyle name="Note 9 5" xfId="1350"/>
    <cellStyle name="Note 9 6" xfId="1426"/>
    <cellStyle name="Note 9 7" xfId="1501"/>
    <cellStyle name="Note 9 8" xfId="1577"/>
    <cellStyle name="Note 9 9" xfId="1652"/>
    <cellStyle name="Output 10" xfId="610"/>
    <cellStyle name="Output 10 10" xfId="1727"/>
    <cellStyle name="Output 10 11" xfId="1803"/>
    <cellStyle name="Output 10 12" xfId="1867"/>
    <cellStyle name="Output 10 13" xfId="1932"/>
    <cellStyle name="Output 10 14" xfId="1995"/>
    <cellStyle name="Output 10 15" xfId="2056"/>
    <cellStyle name="Output 10 16" xfId="2118"/>
    <cellStyle name="Output 10 17" xfId="2180"/>
    <cellStyle name="Output 10 18" xfId="2243"/>
    <cellStyle name="Output 10 19" xfId="2302"/>
    <cellStyle name="Output 10 2" xfId="1123"/>
    <cellStyle name="Output 10 20" xfId="2363"/>
    <cellStyle name="Output 10 21" xfId="2424"/>
    <cellStyle name="Output 10 22" xfId="2487"/>
    <cellStyle name="Output 10 23" xfId="2544"/>
    <cellStyle name="Output 10 24" xfId="2605"/>
    <cellStyle name="Output 10 25" xfId="2665"/>
    <cellStyle name="Output 10 26" xfId="2712"/>
    <cellStyle name="Output 10 27" xfId="2764"/>
    <cellStyle name="Output 10 28" xfId="2812"/>
    <cellStyle name="Output 10 29" xfId="2858"/>
    <cellStyle name="Output 10 3" xfId="1199"/>
    <cellStyle name="Output 10 30" xfId="2904"/>
    <cellStyle name="Output 10 31" xfId="2953"/>
    <cellStyle name="Output 10 32" xfId="2999"/>
    <cellStyle name="Output 10 4" xfId="1275"/>
    <cellStyle name="Output 10 5" xfId="1351"/>
    <cellStyle name="Output 10 6" xfId="1427"/>
    <cellStyle name="Output 10 7" xfId="1502"/>
    <cellStyle name="Output 10 8" xfId="1578"/>
    <cellStyle name="Output 10 9" xfId="1653"/>
    <cellStyle name="Output 11" xfId="611"/>
    <cellStyle name="Output 11 10" xfId="1728"/>
    <cellStyle name="Output 11 11" xfId="1804"/>
    <cellStyle name="Output 11 12" xfId="1868"/>
    <cellStyle name="Output 11 13" xfId="1933"/>
    <cellStyle name="Output 11 14" xfId="1996"/>
    <cellStyle name="Output 11 15" xfId="2057"/>
    <cellStyle name="Output 11 16" xfId="2119"/>
    <cellStyle name="Output 11 17" xfId="2181"/>
    <cellStyle name="Output 11 18" xfId="2244"/>
    <cellStyle name="Output 11 19" xfId="2303"/>
    <cellStyle name="Output 11 2" xfId="1124"/>
    <cellStyle name="Output 11 20" xfId="2364"/>
    <cellStyle name="Output 11 21" xfId="2425"/>
    <cellStyle name="Output 11 22" xfId="2488"/>
    <cellStyle name="Output 11 23" xfId="2545"/>
    <cellStyle name="Output 11 24" xfId="2606"/>
    <cellStyle name="Output 11 25" xfId="2666"/>
    <cellStyle name="Output 11 26" xfId="2713"/>
    <cellStyle name="Output 11 27" xfId="2765"/>
    <cellStyle name="Output 11 28" xfId="2813"/>
    <cellStyle name="Output 11 29" xfId="2859"/>
    <cellStyle name="Output 11 3" xfId="1200"/>
    <cellStyle name="Output 11 30" xfId="2905"/>
    <cellStyle name="Output 11 31" xfId="2954"/>
    <cellStyle name="Output 11 32" xfId="3000"/>
    <cellStyle name="Output 11 4" xfId="1276"/>
    <cellStyle name="Output 11 5" xfId="1352"/>
    <cellStyle name="Output 11 6" xfId="1428"/>
    <cellStyle name="Output 11 7" xfId="1503"/>
    <cellStyle name="Output 11 8" xfId="1579"/>
    <cellStyle name="Output 11 9" xfId="1654"/>
    <cellStyle name="Output 12" xfId="612"/>
    <cellStyle name="Output 12 10" xfId="1729"/>
    <cellStyle name="Output 12 11" xfId="1805"/>
    <cellStyle name="Output 12 12" xfId="1869"/>
    <cellStyle name="Output 12 13" xfId="1934"/>
    <cellStyle name="Output 12 14" xfId="1997"/>
    <cellStyle name="Output 12 15" xfId="2058"/>
    <cellStyle name="Output 12 16" xfId="2120"/>
    <cellStyle name="Output 12 17" xfId="2182"/>
    <cellStyle name="Output 12 18" xfId="2245"/>
    <cellStyle name="Output 12 19" xfId="2304"/>
    <cellStyle name="Output 12 2" xfId="1125"/>
    <cellStyle name="Output 12 20" xfId="2365"/>
    <cellStyle name="Output 12 21" xfId="2426"/>
    <cellStyle name="Output 12 22" xfId="2489"/>
    <cellStyle name="Output 12 23" xfId="2546"/>
    <cellStyle name="Output 12 24" xfId="2607"/>
    <cellStyle name="Output 12 25" xfId="2667"/>
    <cellStyle name="Output 12 26" xfId="2714"/>
    <cellStyle name="Output 12 27" xfId="2766"/>
    <cellStyle name="Output 12 28" xfId="2814"/>
    <cellStyle name="Output 12 29" xfId="2860"/>
    <cellStyle name="Output 12 3" xfId="1201"/>
    <cellStyle name="Output 12 30" xfId="2906"/>
    <cellStyle name="Output 12 31" xfId="2955"/>
    <cellStyle name="Output 12 32" xfId="3001"/>
    <cellStyle name="Output 12 4" xfId="1277"/>
    <cellStyle name="Output 12 5" xfId="1353"/>
    <cellStyle name="Output 12 6" xfId="1429"/>
    <cellStyle name="Output 12 7" xfId="1504"/>
    <cellStyle name="Output 12 8" xfId="1580"/>
    <cellStyle name="Output 12 9" xfId="1655"/>
    <cellStyle name="Output 13" xfId="613"/>
    <cellStyle name="Output 13 10" xfId="1730"/>
    <cellStyle name="Output 13 11" xfId="1806"/>
    <cellStyle name="Output 13 12" xfId="1870"/>
    <cellStyle name="Output 13 13" xfId="1935"/>
    <cellStyle name="Output 13 14" xfId="1998"/>
    <cellStyle name="Output 13 15" xfId="2059"/>
    <cellStyle name="Output 13 16" xfId="2121"/>
    <cellStyle name="Output 13 17" xfId="2183"/>
    <cellStyle name="Output 13 18" xfId="2246"/>
    <cellStyle name="Output 13 19" xfId="2305"/>
    <cellStyle name="Output 13 2" xfId="1126"/>
    <cellStyle name="Output 13 20" xfId="2366"/>
    <cellStyle name="Output 13 21" xfId="2427"/>
    <cellStyle name="Output 13 22" xfId="2490"/>
    <cellStyle name="Output 13 23" xfId="2547"/>
    <cellStyle name="Output 13 24" xfId="2608"/>
    <cellStyle name="Output 13 25" xfId="2668"/>
    <cellStyle name="Output 13 26" xfId="2715"/>
    <cellStyle name="Output 13 27" xfId="2767"/>
    <cellStyle name="Output 13 28" xfId="2815"/>
    <cellStyle name="Output 13 29" xfId="2861"/>
    <cellStyle name="Output 13 3" xfId="1202"/>
    <cellStyle name="Output 13 30" xfId="2907"/>
    <cellStyle name="Output 13 31" xfId="2956"/>
    <cellStyle name="Output 13 32" xfId="3002"/>
    <cellStyle name="Output 13 4" xfId="1278"/>
    <cellStyle name="Output 13 5" xfId="1354"/>
    <cellStyle name="Output 13 6" xfId="1430"/>
    <cellStyle name="Output 13 7" xfId="1505"/>
    <cellStyle name="Output 13 8" xfId="1581"/>
    <cellStyle name="Output 13 9" xfId="1656"/>
    <cellStyle name="Output 14" xfId="614"/>
    <cellStyle name="Output 14 10" xfId="1731"/>
    <cellStyle name="Output 14 11" xfId="1807"/>
    <cellStyle name="Output 14 12" xfId="1871"/>
    <cellStyle name="Output 14 13" xfId="1936"/>
    <cellStyle name="Output 14 14" xfId="1999"/>
    <cellStyle name="Output 14 15" xfId="2060"/>
    <cellStyle name="Output 14 16" xfId="2122"/>
    <cellStyle name="Output 14 17" xfId="2184"/>
    <cellStyle name="Output 14 18" xfId="2247"/>
    <cellStyle name="Output 14 19" xfId="2306"/>
    <cellStyle name="Output 14 2" xfId="1127"/>
    <cellStyle name="Output 14 20" xfId="2367"/>
    <cellStyle name="Output 14 21" xfId="2428"/>
    <cellStyle name="Output 14 22" xfId="2491"/>
    <cellStyle name="Output 14 23" xfId="2548"/>
    <cellStyle name="Output 14 24" xfId="2609"/>
    <cellStyle name="Output 14 25" xfId="2669"/>
    <cellStyle name="Output 14 26" xfId="2716"/>
    <cellStyle name="Output 14 27" xfId="2768"/>
    <cellStyle name="Output 14 28" xfId="2816"/>
    <cellStyle name="Output 14 29" xfId="2862"/>
    <cellStyle name="Output 14 3" xfId="1203"/>
    <cellStyle name="Output 14 30" xfId="2908"/>
    <cellStyle name="Output 14 31" xfId="2957"/>
    <cellStyle name="Output 14 32" xfId="3003"/>
    <cellStyle name="Output 14 4" xfId="1279"/>
    <cellStyle name="Output 14 5" xfId="1355"/>
    <cellStyle name="Output 14 6" xfId="1431"/>
    <cellStyle name="Output 14 7" xfId="1506"/>
    <cellStyle name="Output 14 8" xfId="1582"/>
    <cellStyle name="Output 14 9" xfId="1657"/>
    <cellStyle name="Output 15" xfId="615"/>
    <cellStyle name="Output 15 10" xfId="1732"/>
    <cellStyle name="Output 15 11" xfId="1808"/>
    <cellStyle name="Output 15 12" xfId="1872"/>
    <cellStyle name="Output 15 13" xfId="1937"/>
    <cellStyle name="Output 15 14" xfId="2000"/>
    <cellStyle name="Output 15 15" xfId="2061"/>
    <cellStyle name="Output 15 16" xfId="2123"/>
    <cellStyle name="Output 15 17" xfId="2185"/>
    <cellStyle name="Output 15 18" xfId="2248"/>
    <cellStyle name="Output 15 19" xfId="2307"/>
    <cellStyle name="Output 15 2" xfId="1128"/>
    <cellStyle name="Output 15 20" xfId="2368"/>
    <cellStyle name="Output 15 21" xfId="2429"/>
    <cellStyle name="Output 15 22" xfId="2492"/>
    <cellStyle name="Output 15 23" xfId="2549"/>
    <cellStyle name="Output 15 24" xfId="2610"/>
    <cellStyle name="Output 15 25" xfId="2670"/>
    <cellStyle name="Output 15 26" xfId="2717"/>
    <cellStyle name="Output 15 27" xfId="2769"/>
    <cellStyle name="Output 15 28" xfId="2817"/>
    <cellStyle name="Output 15 29" xfId="2863"/>
    <cellStyle name="Output 15 3" xfId="1204"/>
    <cellStyle name="Output 15 30" xfId="2909"/>
    <cellStyle name="Output 15 31" xfId="2958"/>
    <cellStyle name="Output 15 32" xfId="3004"/>
    <cellStyle name="Output 15 4" xfId="1280"/>
    <cellStyle name="Output 15 5" xfId="1356"/>
    <cellStyle name="Output 15 6" xfId="1432"/>
    <cellStyle name="Output 15 7" xfId="1507"/>
    <cellStyle name="Output 15 8" xfId="1583"/>
    <cellStyle name="Output 15 9" xfId="1658"/>
    <cellStyle name="Output 16" xfId="616"/>
    <cellStyle name="Output 16 10" xfId="1733"/>
    <cellStyle name="Output 16 11" xfId="1809"/>
    <cellStyle name="Output 16 12" xfId="1873"/>
    <cellStyle name="Output 16 13" xfId="1938"/>
    <cellStyle name="Output 16 14" xfId="2001"/>
    <cellStyle name="Output 16 15" xfId="2062"/>
    <cellStyle name="Output 16 16" xfId="2124"/>
    <cellStyle name="Output 16 17" xfId="2186"/>
    <cellStyle name="Output 16 18" xfId="2249"/>
    <cellStyle name="Output 16 19" xfId="2308"/>
    <cellStyle name="Output 16 2" xfId="1129"/>
    <cellStyle name="Output 16 20" xfId="2369"/>
    <cellStyle name="Output 16 21" xfId="2430"/>
    <cellStyle name="Output 16 22" xfId="2493"/>
    <cellStyle name="Output 16 23" xfId="2550"/>
    <cellStyle name="Output 16 24" xfId="2611"/>
    <cellStyle name="Output 16 25" xfId="2671"/>
    <cellStyle name="Output 16 26" xfId="2718"/>
    <cellStyle name="Output 16 27" xfId="2770"/>
    <cellStyle name="Output 16 28" xfId="2818"/>
    <cellStyle name="Output 16 29" xfId="2864"/>
    <cellStyle name="Output 16 3" xfId="1205"/>
    <cellStyle name="Output 16 30" xfId="2910"/>
    <cellStyle name="Output 16 31" xfId="2959"/>
    <cellStyle name="Output 16 32" xfId="3005"/>
    <cellStyle name="Output 16 4" xfId="1281"/>
    <cellStyle name="Output 16 5" xfId="1357"/>
    <cellStyle name="Output 16 6" xfId="1433"/>
    <cellStyle name="Output 16 7" xfId="1508"/>
    <cellStyle name="Output 16 8" xfId="1584"/>
    <cellStyle name="Output 16 9" xfId="1659"/>
    <cellStyle name="Output 2" xfId="617"/>
    <cellStyle name="Output 2 10" xfId="1734"/>
    <cellStyle name="Output 2 11" xfId="1810"/>
    <cellStyle name="Output 2 12" xfId="1874"/>
    <cellStyle name="Output 2 13" xfId="1939"/>
    <cellStyle name="Output 2 14" xfId="2002"/>
    <cellStyle name="Output 2 15" xfId="2063"/>
    <cellStyle name="Output 2 16" xfId="2125"/>
    <cellStyle name="Output 2 17" xfId="2187"/>
    <cellStyle name="Output 2 18" xfId="2250"/>
    <cellStyle name="Output 2 19" xfId="2309"/>
    <cellStyle name="Output 2 2" xfId="1130"/>
    <cellStyle name="Output 2 20" xfId="2370"/>
    <cellStyle name="Output 2 21" xfId="2431"/>
    <cellStyle name="Output 2 22" xfId="2494"/>
    <cellStyle name="Output 2 23" xfId="2551"/>
    <cellStyle name="Output 2 24" xfId="2612"/>
    <cellStyle name="Output 2 25" xfId="2672"/>
    <cellStyle name="Output 2 26" xfId="2719"/>
    <cellStyle name="Output 2 27" xfId="2771"/>
    <cellStyle name="Output 2 28" xfId="2819"/>
    <cellStyle name="Output 2 29" xfId="2865"/>
    <cellStyle name="Output 2 3" xfId="1206"/>
    <cellStyle name="Output 2 30" xfId="2911"/>
    <cellStyle name="Output 2 31" xfId="2960"/>
    <cellStyle name="Output 2 32" xfId="3006"/>
    <cellStyle name="Output 2 4" xfId="1282"/>
    <cellStyle name="Output 2 5" xfId="1358"/>
    <cellStyle name="Output 2 6" xfId="1434"/>
    <cellStyle name="Output 2 7" xfId="1509"/>
    <cellStyle name="Output 2 8" xfId="1585"/>
    <cellStyle name="Output 2 9" xfId="1660"/>
    <cellStyle name="Output 3" xfId="618"/>
    <cellStyle name="Output 3 10" xfId="1735"/>
    <cellStyle name="Output 3 11" xfId="1811"/>
    <cellStyle name="Output 3 12" xfId="1875"/>
    <cellStyle name="Output 3 13" xfId="1940"/>
    <cellStyle name="Output 3 14" xfId="2003"/>
    <cellStyle name="Output 3 15" xfId="2064"/>
    <cellStyle name="Output 3 16" xfId="2126"/>
    <cellStyle name="Output 3 17" xfId="2188"/>
    <cellStyle name="Output 3 18" xfId="2251"/>
    <cellStyle name="Output 3 19" xfId="2310"/>
    <cellStyle name="Output 3 2" xfId="1131"/>
    <cellStyle name="Output 3 20" xfId="2371"/>
    <cellStyle name="Output 3 21" xfId="2432"/>
    <cellStyle name="Output 3 22" xfId="2495"/>
    <cellStyle name="Output 3 23" xfId="2552"/>
    <cellStyle name="Output 3 24" xfId="2613"/>
    <cellStyle name="Output 3 25" xfId="2673"/>
    <cellStyle name="Output 3 26" xfId="2720"/>
    <cellStyle name="Output 3 27" xfId="2772"/>
    <cellStyle name="Output 3 28" xfId="2820"/>
    <cellStyle name="Output 3 29" xfId="2866"/>
    <cellStyle name="Output 3 3" xfId="1207"/>
    <cellStyle name="Output 3 30" xfId="2912"/>
    <cellStyle name="Output 3 31" xfId="2961"/>
    <cellStyle name="Output 3 32" xfId="3007"/>
    <cellStyle name="Output 3 4" xfId="1283"/>
    <cellStyle name="Output 3 5" xfId="1359"/>
    <cellStyle name="Output 3 6" xfId="1435"/>
    <cellStyle name="Output 3 7" xfId="1510"/>
    <cellStyle name="Output 3 8" xfId="1586"/>
    <cellStyle name="Output 3 9" xfId="1661"/>
    <cellStyle name="Output 4" xfId="619"/>
    <cellStyle name="Output 4 10" xfId="1736"/>
    <cellStyle name="Output 4 11" xfId="1812"/>
    <cellStyle name="Output 4 12" xfId="1876"/>
    <cellStyle name="Output 4 13" xfId="1941"/>
    <cellStyle name="Output 4 14" xfId="2004"/>
    <cellStyle name="Output 4 15" xfId="2065"/>
    <cellStyle name="Output 4 16" xfId="2127"/>
    <cellStyle name="Output 4 17" xfId="2189"/>
    <cellStyle name="Output 4 18" xfId="2252"/>
    <cellStyle name="Output 4 19" xfId="2311"/>
    <cellStyle name="Output 4 2" xfId="1132"/>
    <cellStyle name="Output 4 20" xfId="2372"/>
    <cellStyle name="Output 4 21" xfId="2433"/>
    <cellStyle name="Output 4 22" xfId="2496"/>
    <cellStyle name="Output 4 23" xfId="2553"/>
    <cellStyle name="Output 4 24" xfId="2614"/>
    <cellStyle name="Output 4 25" xfId="2674"/>
    <cellStyle name="Output 4 26" xfId="2721"/>
    <cellStyle name="Output 4 27" xfId="2773"/>
    <cellStyle name="Output 4 28" xfId="2821"/>
    <cellStyle name="Output 4 29" xfId="2867"/>
    <cellStyle name="Output 4 3" xfId="1208"/>
    <cellStyle name="Output 4 30" xfId="2913"/>
    <cellStyle name="Output 4 31" xfId="2962"/>
    <cellStyle name="Output 4 32" xfId="3008"/>
    <cellStyle name="Output 4 4" xfId="1284"/>
    <cellStyle name="Output 4 5" xfId="1360"/>
    <cellStyle name="Output 4 6" xfId="1436"/>
    <cellStyle name="Output 4 7" xfId="1511"/>
    <cellStyle name="Output 4 8" xfId="1587"/>
    <cellStyle name="Output 4 9" xfId="1662"/>
    <cellStyle name="Output 5" xfId="620"/>
    <cellStyle name="Output 5 10" xfId="1737"/>
    <cellStyle name="Output 5 11" xfId="1813"/>
    <cellStyle name="Output 5 12" xfId="1877"/>
    <cellStyle name="Output 5 13" xfId="1942"/>
    <cellStyle name="Output 5 14" xfId="2005"/>
    <cellStyle name="Output 5 15" xfId="2066"/>
    <cellStyle name="Output 5 16" xfId="2128"/>
    <cellStyle name="Output 5 17" xfId="2190"/>
    <cellStyle name="Output 5 18" xfId="2253"/>
    <cellStyle name="Output 5 19" xfId="2312"/>
    <cellStyle name="Output 5 2" xfId="1133"/>
    <cellStyle name="Output 5 20" xfId="2373"/>
    <cellStyle name="Output 5 21" xfId="2434"/>
    <cellStyle name="Output 5 22" xfId="2497"/>
    <cellStyle name="Output 5 23" xfId="2554"/>
    <cellStyle name="Output 5 24" xfId="2615"/>
    <cellStyle name="Output 5 25" xfId="2675"/>
    <cellStyle name="Output 5 26" xfId="2722"/>
    <cellStyle name="Output 5 27" xfId="2774"/>
    <cellStyle name="Output 5 28" xfId="2822"/>
    <cellStyle name="Output 5 29" xfId="2868"/>
    <cellStyle name="Output 5 3" xfId="1209"/>
    <cellStyle name="Output 5 30" xfId="2914"/>
    <cellStyle name="Output 5 31" xfId="2963"/>
    <cellStyle name="Output 5 32" xfId="3009"/>
    <cellStyle name="Output 5 4" xfId="1285"/>
    <cellStyle name="Output 5 5" xfId="1361"/>
    <cellStyle name="Output 5 6" xfId="1437"/>
    <cellStyle name="Output 5 7" xfId="1512"/>
    <cellStyle name="Output 5 8" xfId="1588"/>
    <cellStyle name="Output 5 9" xfId="1663"/>
    <cellStyle name="Output 6" xfId="621"/>
    <cellStyle name="Output 6 10" xfId="1738"/>
    <cellStyle name="Output 6 11" xfId="1814"/>
    <cellStyle name="Output 6 12" xfId="1878"/>
    <cellStyle name="Output 6 13" xfId="1943"/>
    <cellStyle name="Output 6 14" xfId="2006"/>
    <cellStyle name="Output 6 15" xfId="2067"/>
    <cellStyle name="Output 6 16" xfId="2129"/>
    <cellStyle name="Output 6 17" xfId="2191"/>
    <cellStyle name="Output 6 18" xfId="2254"/>
    <cellStyle name="Output 6 19" xfId="2313"/>
    <cellStyle name="Output 6 2" xfId="1134"/>
    <cellStyle name="Output 6 20" xfId="2374"/>
    <cellStyle name="Output 6 21" xfId="2435"/>
    <cellStyle name="Output 6 22" xfId="2498"/>
    <cellStyle name="Output 6 23" xfId="2555"/>
    <cellStyle name="Output 6 24" xfId="2616"/>
    <cellStyle name="Output 6 25" xfId="2676"/>
    <cellStyle name="Output 6 26" xfId="2723"/>
    <cellStyle name="Output 6 27" xfId="2775"/>
    <cellStyle name="Output 6 28" xfId="2823"/>
    <cellStyle name="Output 6 29" xfId="2869"/>
    <cellStyle name="Output 6 3" xfId="1210"/>
    <cellStyle name="Output 6 30" xfId="2915"/>
    <cellStyle name="Output 6 31" xfId="2964"/>
    <cellStyle name="Output 6 32" xfId="3010"/>
    <cellStyle name="Output 6 4" xfId="1286"/>
    <cellStyle name="Output 6 5" xfId="1362"/>
    <cellStyle name="Output 6 6" xfId="1438"/>
    <cellStyle name="Output 6 7" xfId="1513"/>
    <cellStyle name="Output 6 8" xfId="1589"/>
    <cellStyle name="Output 6 9" xfId="1664"/>
    <cellStyle name="Output 7" xfId="622"/>
    <cellStyle name="Output 7 10" xfId="1739"/>
    <cellStyle name="Output 7 11" xfId="1815"/>
    <cellStyle name="Output 7 12" xfId="1879"/>
    <cellStyle name="Output 7 13" xfId="1944"/>
    <cellStyle name="Output 7 14" xfId="2007"/>
    <cellStyle name="Output 7 15" xfId="2068"/>
    <cellStyle name="Output 7 16" xfId="2130"/>
    <cellStyle name="Output 7 17" xfId="2192"/>
    <cellStyle name="Output 7 18" xfId="2255"/>
    <cellStyle name="Output 7 19" xfId="2314"/>
    <cellStyle name="Output 7 2" xfId="1135"/>
    <cellStyle name="Output 7 20" xfId="2375"/>
    <cellStyle name="Output 7 21" xfId="2436"/>
    <cellStyle name="Output 7 22" xfId="2499"/>
    <cellStyle name="Output 7 23" xfId="2556"/>
    <cellStyle name="Output 7 24" xfId="2617"/>
    <cellStyle name="Output 7 25" xfId="2677"/>
    <cellStyle name="Output 7 26" xfId="2724"/>
    <cellStyle name="Output 7 27" xfId="2776"/>
    <cellStyle name="Output 7 28" xfId="2824"/>
    <cellStyle name="Output 7 29" xfId="2870"/>
    <cellStyle name="Output 7 3" xfId="1211"/>
    <cellStyle name="Output 7 30" xfId="2916"/>
    <cellStyle name="Output 7 31" xfId="2965"/>
    <cellStyle name="Output 7 32" xfId="3011"/>
    <cellStyle name="Output 7 4" xfId="1287"/>
    <cellStyle name="Output 7 5" xfId="1363"/>
    <cellStyle name="Output 7 6" xfId="1439"/>
    <cellStyle name="Output 7 7" xfId="1514"/>
    <cellStyle name="Output 7 8" xfId="1590"/>
    <cellStyle name="Output 7 9" xfId="1665"/>
    <cellStyle name="Output 8" xfId="623"/>
    <cellStyle name="Output 8 10" xfId="1740"/>
    <cellStyle name="Output 8 11" xfId="1816"/>
    <cellStyle name="Output 8 12" xfId="1880"/>
    <cellStyle name="Output 8 13" xfId="1945"/>
    <cellStyle name="Output 8 14" xfId="2008"/>
    <cellStyle name="Output 8 15" xfId="2069"/>
    <cellStyle name="Output 8 16" xfId="2131"/>
    <cellStyle name="Output 8 17" xfId="2193"/>
    <cellStyle name="Output 8 18" xfId="2256"/>
    <cellStyle name="Output 8 19" xfId="2315"/>
    <cellStyle name="Output 8 2" xfId="1136"/>
    <cellStyle name="Output 8 20" xfId="2376"/>
    <cellStyle name="Output 8 21" xfId="2437"/>
    <cellStyle name="Output 8 22" xfId="2500"/>
    <cellStyle name="Output 8 23" xfId="2557"/>
    <cellStyle name="Output 8 24" xfId="2618"/>
    <cellStyle name="Output 8 25" xfId="2678"/>
    <cellStyle name="Output 8 26" xfId="2725"/>
    <cellStyle name="Output 8 27" xfId="2777"/>
    <cellStyle name="Output 8 28" xfId="2825"/>
    <cellStyle name="Output 8 29" xfId="2871"/>
    <cellStyle name="Output 8 3" xfId="1212"/>
    <cellStyle name="Output 8 30" xfId="2917"/>
    <cellStyle name="Output 8 31" xfId="2966"/>
    <cellStyle name="Output 8 32" xfId="3012"/>
    <cellStyle name="Output 8 4" xfId="1288"/>
    <cellStyle name="Output 8 5" xfId="1364"/>
    <cellStyle name="Output 8 6" xfId="1440"/>
    <cellStyle name="Output 8 7" xfId="1515"/>
    <cellStyle name="Output 8 8" xfId="1591"/>
    <cellStyle name="Output 8 9" xfId="1666"/>
    <cellStyle name="Output 9" xfId="624"/>
    <cellStyle name="Output 9 10" xfId="1741"/>
    <cellStyle name="Output 9 11" xfId="1817"/>
    <cellStyle name="Output 9 12" xfId="1881"/>
    <cellStyle name="Output 9 13" xfId="1946"/>
    <cellStyle name="Output 9 14" xfId="2009"/>
    <cellStyle name="Output 9 15" xfId="2070"/>
    <cellStyle name="Output 9 16" xfId="2132"/>
    <cellStyle name="Output 9 17" xfId="2194"/>
    <cellStyle name="Output 9 18" xfId="2257"/>
    <cellStyle name="Output 9 19" xfId="2316"/>
    <cellStyle name="Output 9 2" xfId="1137"/>
    <cellStyle name="Output 9 20" xfId="2377"/>
    <cellStyle name="Output 9 21" xfId="2438"/>
    <cellStyle name="Output 9 22" xfId="2501"/>
    <cellStyle name="Output 9 23" xfId="2558"/>
    <cellStyle name="Output 9 24" xfId="2619"/>
    <cellStyle name="Output 9 25" xfId="2679"/>
    <cellStyle name="Output 9 26" xfId="2726"/>
    <cellStyle name="Output 9 27" xfId="2778"/>
    <cellStyle name="Output 9 28" xfId="2826"/>
    <cellStyle name="Output 9 29" xfId="2872"/>
    <cellStyle name="Output 9 3" xfId="1213"/>
    <cellStyle name="Output 9 30" xfId="2918"/>
    <cellStyle name="Output 9 31" xfId="2967"/>
    <cellStyle name="Output 9 32" xfId="3013"/>
    <cellStyle name="Output 9 4" xfId="1289"/>
    <cellStyle name="Output 9 5" xfId="1365"/>
    <cellStyle name="Output 9 6" xfId="1441"/>
    <cellStyle name="Output 9 7" xfId="1516"/>
    <cellStyle name="Output 9 8" xfId="1592"/>
    <cellStyle name="Output 9 9" xfId="1667"/>
    <cellStyle name="Percent 2" xfId="3032"/>
    <cellStyle name="Title 10" xfId="625"/>
    <cellStyle name="Title 11" xfId="626"/>
    <cellStyle name="Title 12" xfId="627"/>
    <cellStyle name="Title 13" xfId="628"/>
    <cellStyle name="Title 14" xfId="629"/>
    <cellStyle name="Title 15" xfId="630"/>
    <cellStyle name="Title 16" xfId="631"/>
    <cellStyle name="Title 2" xfId="632"/>
    <cellStyle name="Title 3" xfId="633"/>
    <cellStyle name="Title 4" xfId="634"/>
    <cellStyle name="Title 5" xfId="635"/>
    <cellStyle name="Title 6" xfId="636"/>
    <cellStyle name="Title 7" xfId="637"/>
    <cellStyle name="Title 8" xfId="638"/>
    <cellStyle name="Title 9" xfId="639"/>
    <cellStyle name="Total 10" xfId="640"/>
    <cellStyle name="Total 10 10" xfId="1757"/>
    <cellStyle name="Total 10 11" xfId="1822"/>
    <cellStyle name="Total 10 12" xfId="1888"/>
    <cellStyle name="Total 10 13" xfId="1952"/>
    <cellStyle name="Total 10 14" xfId="2014"/>
    <cellStyle name="Total 10 15" xfId="2075"/>
    <cellStyle name="Total 10 16" xfId="2139"/>
    <cellStyle name="Total 10 17" xfId="2200"/>
    <cellStyle name="Total 10 18" xfId="2261"/>
    <cellStyle name="Total 10 19" xfId="2321"/>
    <cellStyle name="Total 10 2" xfId="1153"/>
    <cellStyle name="Total 10 20" xfId="2382"/>
    <cellStyle name="Total 10 21" xfId="2444"/>
    <cellStyle name="Total 10 22" xfId="2503"/>
    <cellStyle name="Total 10 23" xfId="2566"/>
    <cellStyle name="Total 10 24" xfId="2625"/>
    <cellStyle name="Total 10 25" xfId="2680"/>
    <cellStyle name="Total 10 26" xfId="2732"/>
    <cellStyle name="Total 10 27" xfId="2779"/>
    <cellStyle name="Total 10 28" xfId="2827"/>
    <cellStyle name="Total 10 29" xfId="2873"/>
    <cellStyle name="Total 10 3" xfId="1229"/>
    <cellStyle name="Total 10 30" xfId="2919"/>
    <cellStyle name="Total 10 31" xfId="2968"/>
    <cellStyle name="Total 10 32" xfId="3014"/>
    <cellStyle name="Total 10 4" xfId="1305"/>
    <cellStyle name="Total 10 5" xfId="1381"/>
    <cellStyle name="Total 10 6" xfId="1456"/>
    <cellStyle name="Total 10 7" xfId="1532"/>
    <cellStyle name="Total 10 8" xfId="1607"/>
    <cellStyle name="Total 10 9" xfId="1681"/>
    <cellStyle name="Total 11" xfId="641"/>
    <cellStyle name="Total 11 10" xfId="1758"/>
    <cellStyle name="Total 11 11" xfId="1823"/>
    <cellStyle name="Total 11 12" xfId="1889"/>
    <cellStyle name="Total 11 13" xfId="1953"/>
    <cellStyle name="Total 11 14" xfId="2015"/>
    <cellStyle name="Total 11 15" xfId="2076"/>
    <cellStyle name="Total 11 16" xfId="2140"/>
    <cellStyle name="Total 11 17" xfId="2201"/>
    <cellStyle name="Total 11 18" xfId="2262"/>
    <cellStyle name="Total 11 19" xfId="2322"/>
    <cellStyle name="Total 11 2" xfId="1154"/>
    <cellStyle name="Total 11 20" xfId="2383"/>
    <cellStyle name="Total 11 21" xfId="2445"/>
    <cellStyle name="Total 11 22" xfId="2504"/>
    <cellStyle name="Total 11 23" xfId="2567"/>
    <cellStyle name="Total 11 24" xfId="2626"/>
    <cellStyle name="Total 11 25" xfId="2681"/>
    <cellStyle name="Total 11 26" xfId="2733"/>
    <cellStyle name="Total 11 27" xfId="2780"/>
    <cellStyle name="Total 11 28" xfId="2828"/>
    <cellStyle name="Total 11 29" xfId="2874"/>
    <cellStyle name="Total 11 3" xfId="1230"/>
    <cellStyle name="Total 11 30" xfId="2920"/>
    <cellStyle name="Total 11 31" xfId="2969"/>
    <cellStyle name="Total 11 32" xfId="3015"/>
    <cellStyle name="Total 11 4" xfId="1306"/>
    <cellStyle name="Total 11 5" xfId="1382"/>
    <cellStyle name="Total 11 6" xfId="1457"/>
    <cellStyle name="Total 11 7" xfId="1533"/>
    <cellStyle name="Total 11 8" xfId="1608"/>
    <cellStyle name="Total 11 9" xfId="1682"/>
    <cellStyle name="Total 12" xfId="642"/>
    <cellStyle name="Total 12 10" xfId="1759"/>
    <cellStyle name="Total 12 11" xfId="1824"/>
    <cellStyle name="Total 12 12" xfId="1890"/>
    <cellStyle name="Total 12 13" xfId="1954"/>
    <cellStyle name="Total 12 14" xfId="2016"/>
    <cellStyle name="Total 12 15" xfId="2077"/>
    <cellStyle name="Total 12 16" xfId="2141"/>
    <cellStyle name="Total 12 17" xfId="2202"/>
    <cellStyle name="Total 12 18" xfId="2263"/>
    <cellStyle name="Total 12 19" xfId="2323"/>
    <cellStyle name="Total 12 2" xfId="1155"/>
    <cellStyle name="Total 12 20" xfId="2384"/>
    <cellStyle name="Total 12 21" xfId="2446"/>
    <cellStyle name="Total 12 22" xfId="2505"/>
    <cellStyle name="Total 12 23" xfId="2568"/>
    <cellStyle name="Total 12 24" xfId="2627"/>
    <cellStyle name="Total 12 25" xfId="2682"/>
    <cellStyle name="Total 12 26" xfId="2734"/>
    <cellStyle name="Total 12 27" xfId="2781"/>
    <cellStyle name="Total 12 28" xfId="2829"/>
    <cellStyle name="Total 12 29" xfId="2875"/>
    <cellStyle name="Total 12 3" xfId="1231"/>
    <cellStyle name="Total 12 30" xfId="2921"/>
    <cellStyle name="Total 12 31" xfId="2970"/>
    <cellStyle name="Total 12 32" xfId="3016"/>
    <cellStyle name="Total 12 4" xfId="1307"/>
    <cellStyle name="Total 12 5" xfId="1383"/>
    <cellStyle name="Total 12 6" xfId="1458"/>
    <cellStyle name="Total 12 7" xfId="1534"/>
    <cellStyle name="Total 12 8" xfId="1609"/>
    <cellStyle name="Total 12 9" xfId="1683"/>
    <cellStyle name="Total 13" xfId="643"/>
    <cellStyle name="Total 13 10" xfId="1760"/>
    <cellStyle name="Total 13 11" xfId="1825"/>
    <cellStyle name="Total 13 12" xfId="1891"/>
    <cellStyle name="Total 13 13" xfId="1955"/>
    <cellStyle name="Total 13 14" xfId="2017"/>
    <cellStyle name="Total 13 15" xfId="2078"/>
    <cellStyle name="Total 13 16" xfId="2142"/>
    <cellStyle name="Total 13 17" xfId="2203"/>
    <cellStyle name="Total 13 18" xfId="2264"/>
    <cellStyle name="Total 13 19" xfId="2324"/>
    <cellStyle name="Total 13 2" xfId="1156"/>
    <cellStyle name="Total 13 20" xfId="2385"/>
    <cellStyle name="Total 13 21" xfId="2447"/>
    <cellStyle name="Total 13 22" xfId="2506"/>
    <cellStyle name="Total 13 23" xfId="2569"/>
    <cellStyle name="Total 13 24" xfId="2628"/>
    <cellStyle name="Total 13 25" xfId="2683"/>
    <cellStyle name="Total 13 26" xfId="2735"/>
    <cellStyle name="Total 13 27" xfId="2782"/>
    <cellStyle name="Total 13 28" xfId="2830"/>
    <cellStyle name="Total 13 29" xfId="2876"/>
    <cellStyle name="Total 13 3" xfId="1232"/>
    <cellStyle name="Total 13 30" xfId="2922"/>
    <cellStyle name="Total 13 31" xfId="2971"/>
    <cellStyle name="Total 13 32" xfId="3017"/>
    <cellStyle name="Total 13 4" xfId="1308"/>
    <cellStyle name="Total 13 5" xfId="1384"/>
    <cellStyle name="Total 13 6" xfId="1459"/>
    <cellStyle name="Total 13 7" xfId="1535"/>
    <cellStyle name="Total 13 8" xfId="1610"/>
    <cellStyle name="Total 13 9" xfId="1684"/>
    <cellStyle name="Total 14" xfId="644"/>
    <cellStyle name="Total 14 10" xfId="1761"/>
    <cellStyle name="Total 14 11" xfId="1826"/>
    <cellStyle name="Total 14 12" xfId="1892"/>
    <cellStyle name="Total 14 13" xfId="1956"/>
    <cellStyle name="Total 14 14" xfId="2018"/>
    <cellStyle name="Total 14 15" xfId="2079"/>
    <cellStyle name="Total 14 16" xfId="2143"/>
    <cellStyle name="Total 14 17" xfId="2204"/>
    <cellStyle name="Total 14 18" xfId="2265"/>
    <cellStyle name="Total 14 19" xfId="2325"/>
    <cellStyle name="Total 14 2" xfId="1157"/>
    <cellStyle name="Total 14 20" xfId="2386"/>
    <cellStyle name="Total 14 21" xfId="2448"/>
    <cellStyle name="Total 14 22" xfId="2507"/>
    <cellStyle name="Total 14 23" xfId="2570"/>
    <cellStyle name="Total 14 24" xfId="2629"/>
    <cellStyle name="Total 14 25" xfId="2684"/>
    <cellStyle name="Total 14 26" xfId="2736"/>
    <cellStyle name="Total 14 27" xfId="2783"/>
    <cellStyle name="Total 14 28" xfId="2831"/>
    <cellStyle name="Total 14 29" xfId="2877"/>
    <cellStyle name="Total 14 3" xfId="1233"/>
    <cellStyle name="Total 14 30" xfId="2923"/>
    <cellStyle name="Total 14 31" xfId="2972"/>
    <cellStyle name="Total 14 32" xfId="3018"/>
    <cellStyle name="Total 14 4" xfId="1309"/>
    <cellStyle name="Total 14 5" xfId="1385"/>
    <cellStyle name="Total 14 6" xfId="1460"/>
    <cellStyle name="Total 14 7" xfId="1536"/>
    <cellStyle name="Total 14 8" xfId="1611"/>
    <cellStyle name="Total 14 9" xfId="1685"/>
    <cellStyle name="Total 15" xfId="645"/>
    <cellStyle name="Total 15 10" xfId="1762"/>
    <cellStyle name="Total 15 11" xfId="1827"/>
    <cellStyle name="Total 15 12" xfId="1893"/>
    <cellStyle name="Total 15 13" xfId="1957"/>
    <cellStyle name="Total 15 14" xfId="2019"/>
    <cellStyle name="Total 15 15" xfId="2080"/>
    <cellStyle name="Total 15 16" xfId="2144"/>
    <cellStyle name="Total 15 17" xfId="2205"/>
    <cellStyle name="Total 15 18" xfId="2266"/>
    <cellStyle name="Total 15 19" xfId="2326"/>
    <cellStyle name="Total 15 2" xfId="1158"/>
    <cellStyle name="Total 15 20" xfId="2387"/>
    <cellStyle name="Total 15 21" xfId="2449"/>
    <cellStyle name="Total 15 22" xfId="2508"/>
    <cellStyle name="Total 15 23" xfId="2571"/>
    <cellStyle name="Total 15 24" xfId="2630"/>
    <cellStyle name="Total 15 25" xfId="2685"/>
    <cellStyle name="Total 15 26" xfId="2737"/>
    <cellStyle name="Total 15 27" xfId="2784"/>
    <cellStyle name="Total 15 28" xfId="2832"/>
    <cellStyle name="Total 15 29" xfId="2878"/>
    <cellStyle name="Total 15 3" xfId="1234"/>
    <cellStyle name="Total 15 30" xfId="2924"/>
    <cellStyle name="Total 15 31" xfId="2973"/>
    <cellStyle name="Total 15 32" xfId="3019"/>
    <cellStyle name="Total 15 4" xfId="1310"/>
    <cellStyle name="Total 15 5" xfId="1386"/>
    <cellStyle name="Total 15 6" xfId="1461"/>
    <cellStyle name="Total 15 7" xfId="1537"/>
    <cellStyle name="Total 15 8" xfId="1612"/>
    <cellStyle name="Total 15 9" xfId="1686"/>
    <cellStyle name="Total 16" xfId="646"/>
    <cellStyle name="Total 16 10" xfId="1763"/>
    <cellStyle name="Total 16 11" xfId="1828"/>
    <cellStyle name="Total 16 12" xfId="1894"/>
    <cellStyle name="Total 16 13" xfId="1958"/>
    <cellStyle name="Total 16 14" xfId="2020"/>
    <cellStyle name="Total 16 15" xfId="2081"/>
    <cellStyle name="Total 16 16" xfId="2145"/>
    <cellStyle name="Total 16 17" xfId="2206"/>
    <cellStyle name="Total 16 18" xfId="2267"/>
    <cellStyle name="Total 16 19" xfId="2327"/>
    <cellStyle name="Total 16 2" xfId="1159"/>
    <cellStyle name="Total 16 20" xfId="2388"/>
    <cellStyle name="Total 16 21" xfId="2450"/>
    <cellStyle name="Total 16 22" xfId="2509"/>
    <cellStyle name="Total 16 23" xfId="2572"/>
    <cellStyle name="Total 16 24" xfId="2631"/>
    <cellStyle name="Total 16 25" xfId="2686"/>
    <cellStyle name="Total 16 26" xfId="2738"/>
    <cellStyle name="Total 16 27" xfId="2785"/>
    <cellStyle name="Total 16 28" xfId="2833"/>
    <cellStyle name="Total 16 29" xfId="2879"/>
    <cellStyle name="Total 16 3" xfId="1235"/>
    <cellStyle name="Total 16 30" xfId="2925"/>
    <cellStyle name="Total 16 31" xfId="2974"/>
    <cellStyle name="Total 16 32" xfId="3020"/>
    <cellStyle name="Total 16 4" xfId="1311"/>
    <cellStyle name="Total 16 5" xfId="1387"/>
    <cellStyle name="Total 16 6" xfId="1462"/>
    <cellStyle name="Total 16 7" xfId="1538"/>
    <cellStyle name="Total 16 8" xfId="1613"/>
    <cellStyle name="Total 16 9" xfId="1687"/>
    <cellStyle name="Total 2" xfId="647"/>
    <cellStyle name="Total 2 10" xfId="1764"/>
    <cellStyle name="Total 2 11" xfId="1829"/>
    <cellStyle name="Total 2 12" xfId="1895"/>
    <cellStyle name="Total 2 13" xfId="1959"/>
    <cellStyle name="Total 2 14" xfId="2021"/>
    <cellStyle name="Total 2 15" xfId="2082"/>
    <cellStyle name="Total 2 16" xfId="2146"/>
    <cellStyle name="Total 2 17" xfId="2207"/>
    <cellStyle name="Total 2 18" xfId="2268"/>
    <cellStyle name="Total 2 19" xfId="2328"/>
    <cellStyle name="Total 2 2" xfId="1160"/>
    <cellStyle name="Total 2 20" xfId="2389"/>
    <cellStyle name="Total 2 21" xfId="2451"/>
    <cellStyle name="Total 2 22" xfId="2510"/>
    <cellStyle name="Total 2 23" xfId="2573"/>
    <cellStyle name="Total 2 24" xfId="2632"/>
    <cellStyle name="Total 2 25" xfId="2687"/>
    <cellStyle name="Total 2 26" xfId="2739"/>
    <cellStyle name="Total 2 27" xfId="2786"/>
    <cellStyle name="Total 2 28" xfId="2834"/>
    <cellStyle name="Total 2 29" xfId="2880"/>
    <cellStyle name="Total 2 3" xfId="1236"/>
    <cellStyle name="Total 2 30" xfId="2926"/>
    <cellStyle name="Total 2 31" xfId="2975"/>
    <cellStyle name="Total 2 32" xfId="3021"/>
    <cellStyle name="Total 2 4" xfId="1312"/>
    <cellStyle name="Total 2 5" xfId="1388"/>
    <cellStyle name="Total 2 6" xfId="1463"/>
    <cellStyle name="Total 2 7" xfId="1539"/>
    <cellStyle name="Total 2 8" xfId="1614"/>
    <cellStyle name="Total 2 9" xfId="1688"/>
    <cellStyle name="Total 3" xfId="648"/>
    <cellStyle name="Total 3 10" xfId="1765"/>
    <cellStyle name="Total 3 11" xfId="1830"/>
    <cellStyle name="Total 3 12" xfId="1896"/>
    <cellStyle name="Total 3 13" xfId="1960"/>
    <cellStyle name="Total 3 14" xfId="2022"/>
    <cellStyle name="Total 3 15" xfId="2083"/>
    <cellStyle name="Total 3 16" xfId="2147"/>
    <cellStyle name="Total 3 17" xfId="2208"/>
    <cellStyle name="Total 3 18" xfId="2269"/>
    <cellStyle name="Total 3 19" xfId="2329"/>
    <cellStyle name="Total 3 2" xfId="1161"/>
    <cellStyle name="Total 3 20" xfId="2390"/>
    <cellStyle name="Total 3 21" xfId="2452"/>
    <cellStyle name="Total 3 22" xfId="2511"/>
    <cellStyle name="Total 3 23" xfId="2574"/>
    <cellStyle name="Total 3 24" xfId="2633"/>
    <cellStyle name="Total 3 25" xfId="2688"/>
    <cellStyle name="Total 3 26" xfId="2740"/>
    <cellStyle name="Total 3 27" xfId="2787"/>
    <cellStyle name="Total 3 28" xfId="2835"/>
    <cellStyle name="Total 3 29" xfId="2881"/>
    <cellStyle name="Total 3 3" xfId="1237"/>
    <cellStyle name="Total 3 30" xfId="2927"/>
    <cellStyle name="Total 3 31" xfId="2976"/>
    <cellStyle name="Total 3 32" xfId="3022"/>
    <cellStyle name="Total 3 4" xfId="1313"/>
    <cellStyle name="Total 3 5" xfId="1389"/>
    <cellStyle name="Total 3 6" xfId="1464"/>
    <cellStyle name="Total 3 7" xfId="1540"/>
    <cellStyle name="Total 3 8" xfId="1615"/>
    <cellStyle name="Total 3 9" xfId="1689"/>
    <cellStyle name="Total 4" xfId="649"/>
    <cellStyle name="Total 4 10" xfId="1766"/>
    <cellStyle name="Total 4 11" xfId="1831"/>
    <cellStyle name="Total 4 12" xfId="1897"/>
    <cellStyle name="Total 4 13" xfId="1961"/>
    <cellStyle name="Total 4 14" xfId="2023"/>
    <cellStyle name="Total 4 15" xfId="2084"/>
    <cellStyle name="Total 4 16" xfId="2148"/>
    <cellStyle name="Total 4 17" xfId="2209"/>
    <cellStyle name="Total 4 18" xfId="2270"/>
    <cellStyle name="Total 4 19" xfId="2330"/>
    <cellStyle name="Total 4 2" xfId="1162"/>
    <cellStyle name="Total 4 20" xfId="2391"/>
    <cellStyle name="Total 4 21" xfId="2453"/>
    <cellStyle name="Total 4 22" xfId="2512"/>
    <cellStyle name="Total 4 23" xfId="2575"/>
    <cellStyle name="Total 4 24" xfId="2634"/>
    <cellStyle name="Total 4 25" xfId="2689"/>
    <cellStyle name="Total 4 26" xfId="2741"/>
    <cellStyle name="Total 4 27" xfId="2788"/>
    <cellStyle name="Total 4 28" xfId="2836"/>
    <cellStyle name="Total 4 29" xfId="2882"/>
    <cellStyle name="Total 4 3" xfId="1238"/>
    <cellStyle name="Total 4 30" xfId="2928"/>
    <cellStyle name="Total 4 31" xfId="2977"/>
    <cellStyle name="Total 4 32" xfId="3023"/>
    <cellStyle name="Total 4 4" xfId="1314"/>
    <cellStyle name="Total 4 5" xfId="1390"/>
    <cellStyle name="Total 4 6" xfId="1465"/>
    <cellStyle name="Total 4 7" xfId="1541"/>
    <cellStyle name="Total 4 8" xfId="1616"/>
    <cellStyle name="Total 4 9" xfId="1690"/>
    <cellStyle name="Total 5" xfId="650"/>
    <cellStyle name="Total 5 10" xfId="1767"/>
    <cellStyle name="Total 5 11" xfId="1832"/>
    <cellStyle name="Total 5 12" xfId="1898"/>
    <cellStyle name="Total 5 13" xfId="1962"/>
    <cellStyle name="Total 5 14" xfId="2024"/>
    <cellStyle name="Total 5 15" xfId="2085"/>
    <cellStyle name="Total 5 16" xfId="2149"/>
    <cellStyle name="Total 5 17" xfId="2210"/>
    <cellStyle name="Total 5 18" xfId="2271"/>
    <cellStyle name="Total 5 19" xfId="2331"/>
    <cellStyle name="Total 5 2" xfId="1163"/>
    <cellStyle name="Total 5 20" xfId="2392"/>
    <cellStyle name="Total 5 21" xfId="2454"/>
    <cellStyle name="Total 5 22" xfId="2513"/>
    <cellStyle name="Total 5 23" xfId="2576"/>
    <cellStyle name="Total 5 24" xfId="2635"/>
    <cellStyle name="Total 5 25" xfId="2690"/>
    <cellStyle name="Total 5 26" xfId="2742"/>
    <cellStyle name="Total 5 27" xfId="2789"/>
    <cellStyle name="Total 5 28" xfId="2837"/>
    <cellStyle name="Total 5 29" xfId="2883"/>
    <cellStyle name="Total 5 3" xfId="1239"/>
    <cellStyle name="Total 5 30" xfId="2929"/>
    <cellStyle name="Total 5 31" xfId="2978"/>
    <cellStyle name="Total 5 32" xfId="3024"/>
    <cellStyle name="Total 5 4" xfId="1315"/>
    <cellStyle name="Total 5 5" xfId="1391"/>
    <cellStyle name="Total 5 6" xfId="1466"/>
    <cellStyle name="Total 5 7" xfId="1542"/>
    <cellStyle name="Total 5 8" xfId="1617"/>
    <cellStyle name="Total 5 9" xfId="1691"/>
    <cellStyle name="Total 6" xfId="651"/>
    <cellStyle name="Total 6 10" xfId="1768"/>
    <cellStyle name="Total 6 11" xfId="1833"/>
    <cellStyle name="Total 6 12" xfId="1899"/>
    <cellStyle name="Total 6 13" xfId="1963"/>
    <cellStyle name="Total 6 14" xfId="2025"/>
    <cellStyle name="Total 6 15" xfId="2086"/>
    <cellStyle name="Total 6 16" xfId="2150"/>
    <cellStyle name="Total 6 17" xfId="2211"/>
    <cellStyle name="Total 6 18" xfId="2272"/>
    <cellStyle name="Total 6 19" xfId="2332"/>
    <cellStyle name="Total 6 2" xfId="1164"/>
    <cellStyle name="Total 6 20" xfId="2393"/>
    <cellStyle name="Total 6 21" xfId="2455"/>
    <cellStyle name="Total 6 22" xfId="2514"/>
    <cellStyle name="Total 6 23" xfId="2577"/>
    <cellStyle name="Total 6 24" xfId="2636"/>
    <cellStyle name="Total 6 25" xfId="2691"/>
    <cellStyle name="Total 6 26" xfId="2743"/>
    <cellStyle name="Total 6 27" xfId="2790"/>
    <cellStyle name="Total 6 28" xfId="2838"/>
    <cellStyle name="Total 6 29" xfId="2884"/>
    <cellStyle name="Total 6 3" xfId="1240"/>
    <cellStyle name="Total 6 30" xfId="2930"/>
    <cellStyle name="Total 6 31" xfId="2979"/>
    <cellStyle name="Total 6 32" xfId="3025"/>
    <cellStyle name="Total 6 4" xfId="1316"/>
    <cellStyle name="Total 6 5" xfId="1392"/>
    <cellStyle name="Total 6 6" xfId="1467"/>
    <cellStyle name="Total 6 7" xfId="1543"/>
    <cellStyle name="Total 6 8" xfId="1618"/>
    <cellStyle name="Total 6 9" xfId="1692"/>
    <cellStyle name="Total 7" xfId="652"/>
    <cellStyle name="Total 7 10" xfId="1769"/>
    <cellStyle name="Total 7 11" xfId="1834"/>
    <cellStyle name="Total 7 12" xfId="1900"/>
    <cellStyle name="Total 7 13" xfId="1964"/>
    <cellStyle name="Total 7 14" xfId="2026"/>
    <cellStyle name="Total 7 15" xfId="2087"/>
    <cellStyle name="Total 7 16" xfId="2151"/>
    <cellStyle name="Total 7 17" xfId="2212"/>
    <cellStyle name="Total 7 18" xfId="2273"/>
    <cellStyle name="Total 7 19" xfId="2333"/>
    <cellStyle name="Total 7 2" xfId="1165"/>
    <cellStyle name="Total 7 20" xfId="2394"/>
    <cellStyle name="Total 7 21" xfId="2456"/>
    <cellStyle name="Total 7 22" xfId="2515"/>
    <cellStyle name="Total 7 23" xfId="2578"/>
    <cellStyle name="Total 7 24" xfId="2637"/>
    <cellStyle name="Total 7 25" xfId="2692"/>
    <cellStyle name="Total 7 26" xfId="2744"/>
    <cellStyle name="Total 7 27" xfId="2791"/>
    <cellStyle name="Total 7 28" xfId="2839"/>
    <cellStyle name="Total 7 29" xfId="2885"/>
    <cellStyle name="Total 7 3" xfId="1241"/>
    <cellStyle name="Total 7 30" xfId="2931"/>
    <cellStyle name="Total 7 31" xfId="2980"/>
    <cellStyle name="Total 7 32" xfId="3026"/>
    <cellStyle name="Total 7 4" xfId="1317"/>
    <cellStyle name="Total 7 5" xfId="1393"/>
    <cellStyle name="Total 7 6" xfId="1468"/>
    <cellStyle name="Total 7 7" xfId="1544"/>
    <cellStyle name="Total 7 8" xfId="1619"/>
    <cellStyle name="Total 7 9" xfId="1693"/>
    <cellStyle name="Total 8" xfId="653"/>
    <cellStyle name="Total 8 10" xfId="1770"/>
    <cellStyle name="Total 8 11" xfId="1835"/>
    <cellStyle name="Total 8 12" xfId="1901"/>
    <cellStyle name="Total 8 13" xfId="1965"/>
    <cellStyle name="Total 8 14" xfId="2027"/>
    <cellStyle name="Total 8 15" xfId="2088"/>
    <cellStyle name="Total 8 16" xfId="2152"/>
    <cellStyle name="Total 8 17" xfId="2213"/>
    <cellStyle name="Total 8 18" xfId="2274"/>
    <cellStyle name="Total 8 19" xfId="2334"/>
    <cellStyle name="Total 8 2" xfId="1166"/>
    <cellStyle name="Total 8 20" xfId="2395"/>
    <cellStyle name="Total 8 21" xfId="2457"/>
    <cellStyle name="Total 8 22" xfId="2516"/>
    <cellStyle name="Total 8 23" xfId="2579"/>
    <cellStyle name="Total 8 24" xfId="2638"/>
    <cellStyle name="Total 8 25" xfId="2693"/>
    <cellStyle name="Total 8 26" xfId="2745"/>
    <cellStyle name="Total 8 27" xfId="2792"/>
    <cellStyle name="Total 8 28" xfId="2840"/>
    <cellStyle name="Total 8 29" xfId="2886"/>
    <cellStyle name="Total 8 3" xfId="1242"/>
    <cellStyle name="Total 8 30" xfId="2932"/>
    <cellStyle name="Total 8 31" xfId="2981"/>
    <cellStyle name="Total 8 32" xfId="3027"/>
    <cellStyle name="Total 8 4" xfId="1318"/>
    <cellStyle name="Total 8 5" xfId="1394"/>
    <cellStyle name="Total 8 6" xfId="1469"/>
    <cellStyle name="Total 8 7" xfId="1545"/>
    <cellStyle name="Total 8 8" xfId="1620"/>
    <cellStyle name="Total 8 9" xfId="1694"/>
    <cellStyle name="Total 9" xfId="654"/>
    <cellStyle name="Total 9 10" xfId="1771"/>
    <cellStyle name="Total 9 11" xfId="1836"/>
    <cellStyle name="Total 9 12" xfId="1902"/>
    <cellStyle name="Total 9 13" xfId="1966"/>
    <cellStyle name="Total 9 14" xfId="2028"/>
    <cellStyle name="Total 9 15" xfId="2089"/>
    <cellStyle name="Total 9 16" xfId="2153"/>
    <cellStyle name="Total 9 17" xfId="2214"/>
    <cellStyle name="Total 9 18" xfId="2275"/>
    <cellStyle name="Total 9 19" xfId="2335"/>
    <cellStyle name="Total 9 2" xfId="1167"/>
    <cellStyle name="Total 9 20" xfId="2396"/>
    <cellStyle name="Total 9 21" xfId="2458"/>
    <cellStyle name="Total 9 22" xfId="2517"/>
    <cellStyle name="Total 9 23" xfId="2580"/>
    <cellStyle name="Total 9 24" xfId="2639"/>
    <cellStyle name="Total 9 25" xfId="2694"/>
    <cellStyle name="Total 9 26" xfId="2746"/>
    <cellStyle name="Total 9 27" xfId="2793"/>
    <cellStyle name="Total 9 28" xfId="2841"/>
    <cellStyle name="Total 9 29" xfId="2887"/>
    <cellStyle name="Total 9 3" xfId="1243"/>
    <cellStyle name="Total 9 30" xfId="2933"/>
    <cellStyle name="Total 9 31" xfId="2982"/>
    <cellStyle name="Total 9 32" xfId="3028"/>
    <cellStyle name="Total 9 4" xfId="1319"/>
    <cellStyle name="Total 9 5" xfId="1395"/>
    <cellStyle name="Total 9 6" xfId="1470"/>
    <cellStyle name="Total 9 7" xfId="1546"/>
    <cellStyle name="Total 9 8" xfId="1621"/>
    <cellStyle name="Total 9 9" xfId="1695"/>
    <cellStyle name="Warning Text 10" xfId="655"/>
    <cellStyle name="Warning Text 11" xfId="656"/>
    <cellStyle name="Warning Text 12" xfId="657"/>
    <cellStyle name="Warning Text 13" xfId="658"/>
    <cellStyle name="Warning Text 14" xfId="659"/>
    <cellStyle name="Warning Text 15" xfId="660"/>
    <cellStyle name="Warning Text 16" xfId="661"/>
    <cellStyle name="Warning Text 2" xfId="662"/>
    <cellStyle name="Warning Text 3" xfId="663"/>
    <cellStyle name="Warning Text 4" xfId="664"/>
    <cellStyle name="Warning Text 5" xfId="665"/>
    <cellStyle name="Warning Text 6" xfId="666"/>
    <cellStyle name="Warning Text 7" xfId="667"/>
    <cellStyle name="Warning Text 8" xfId="668"/>
    <cellStyle name="Warning Text 9" xfId="66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abSelected="1" zoomScaleNormal="100" workbookViewId="0">
      <selection activeCell="A13" sqref="A13"/>
    </sheetView>
  </sheetViews>
  <sheetFormatPr defaultRowHeight="13.8"/>
  <cols>
    <col min="1" max="1" width="41.5" bestFit="1" customWidth="1"/>
    <col min="2" max="2" width="18.69921875" customWidth="1"/>
    <col min="3" max="3" width="45" style="57" customWidth="1"/>
    <col min="4" max="4" width="13.5" style="2" customWidth="1"/>
    <col min="5" max="5" width="14.59765625" customWidth="1"/>
    <col min="6" max="6" width="11.796875" customWidth="1"/>
    <col min="7" max="7" width="14.796875" customWidth="1"/>
    <col min="8" max="8" width="15.5" customWidth="1"/>
    <col min="9" max="9" width="11.296875" customWidth="1"/>
    <col min="10" max="10" width="10.59765625" style="6" customWidth="1"/>
  </cols>
  <sheetData>
    <row r="1" spans="1:11" ht="24.6">
      <c r="A1" s="18" t="s">
        <v>74</v>
      </c>
      <c r="B1" s="18"/>
      <c r="C1" s="47"/>
      <c r="D1" s="20"/>
      <c r="E1" s="19"/>
      <c r="F1" s="19"/>
      <c r="G1" s="19"/>
      <c r="H1" s="19"/>
      <c r="I1" s="19"/>
      <c r="J1" s="21"/>
    </row>
    <row r="2" spans="1:11">
      <c r="A2" s="16" t="s">
        <v>0</v>
      </c>
      <c r="B2" s="16" t="s">
        <v>84</v>
      </c>
      <c r="C2" s="16" t="s">
        <v>1</v>
      </c>
      <c r="D2" s="22" t="s">
        <v>8</v>
      </c>
      <c r="E2" s="23" t="s">
        <v>2</v>
      </c>
      <c r="F2" s="23" t="s">
        <v>3</v>
      </c>
      <c r="G2" s="23" t="s">
        <v>4</v>
      </c>
      <c r="H2" s="23" t="s">
        <v>5</v>
      </c>
      <c r="I2" s="23" t="s">
        <v>6</v>
      </c>
      <c r="J2" s="24" t="s">
        <v>7</v>
      </c>
    </row>
    <row r="3" spans="1:11" ht="23.4" customHeight="1">
      <c r="A3" s="25" t="s">
        <v>45</v>
      </c>
      <c r="B3" s="25"/>
      <c r="C3" s="29" t="s">
        <v>85</v>
      </c>
      <c r="D3" s="20" t="s">
        <v>18</v>
      </c>
      <c r="E3" s="20">
        <v>4</v>
      </c>
      <c r="F3" s="20">
        <v>3.5</v>
      </c>
      <c r="G3" s="20">
        <v>38</v>
      </c>
      <c r="H3" s="20">
        <v>27</v>
      </c>
      <c r="I3" s="20">
        <v>20</v>
      </c>
      <c r="J3" s="26">
        <v>0.02</v>
      </c>
    </row>
    <row r="4" spans="1:11" ht="22.2" customHeight="1">
      <c r="A4" s="25" t="s">
        <v>45</v>
      </c>
      <c r="B4" s="25"/>
      <c r="C4" s="29" t="s">
        <v>85</v>
      </c>
      <c r="D4" s="20" t="s">
        <v>19</v>
      </c>
      <c r="E4" s="20">
        <v>8</v>
      </c>
      <c r="F4" s="20">
        <v>7.4</v>
      </c>
      <c r="G4" s="20">
        <v>57.5</v>
      </c>
      <c r="H4" s="20">
        <v>25</v>
      </c>
      <c r="I4" s="20">
        <v>27.5</v>
      </c>
      <c r="J4" s="26">
        <v>0.04</v>
      </c>
    </row>
    <row r="5" spans="1:11" ht="22.2" customHeight="1">
      <c r="A5" s="25" t="s">
        <v>45</v>
      </c>
      <c r="B5" s="25"/>
      <c r="C5" s="29" t="s">
        <v>85</v>
      </c>
      <c r="D5" s="20" t="s">
        <v>11</v>
      </c>
      <c r="E5" s="20">
        <v>15.8</v>
      </c>
      <c r="F5" s="20">
        <v>14.7</v>
      </c>
      <c r="G5" s="20">
        <v>40</v>
      </c>
      <c r="H5" s="20">
        <v>39</v>
      </c>
      <c r="I5" s="20">
        <v>54</v>
      </c>
      <c r="J5" s="26">
        <v>0.09</v>
      </c>
    </row>
    <row r="6" spans="1:11" ht="22.2" customHeight="1">
      <c r="A6" s="25" t="s">
        <v>45</v>
      </c>
      <c r="B6" s="25" t="s">
        <v>84</v>
      </c>
      <c r="C6" s="29" t="s">
        <v>85</v>
      </c>
      <c r="D6" s="20" t="s">
        <v>9</v>
      </c>
      <c r="E6" s="20">
        <v>16.5</v>
      </c>
      <c r="F6" s="20">
        <v>15.5</v>
      </c>
      <c r="G6" s="20">
        <v>46.5</v>
      </c>
      <c r="H6" s="20">
        <v>32.5</v>
      </c>
      <c r="I6" s="20">
        <v>53.5</v>
      </c>
      <c r="J6" s="26">
        <v>0.08</v>
      </c>
    </row>
    <row r="7" spans="1:11" ht="22.2" customHeight="1">
      <c r="A7" s="25" t="s">
        <v>46</v>
      </c>
      <c r="B7" s="25"/>
      <c r="C7" s="29" t="s">
        <v>87</v>
      </c>
      <c r="D7" s="20" t="s">
        <v>18</v>
      </c>
      <c r="E7" s="20">
        <v>9</v>
      </c>
      <c r="F7" s="20">
        <v>8.1999999999999993</v>
      </c>
      <c r="G7" s="20">
        <v>36</v>
      </c>
      <c r="H7" s="20">
        <v>30</v>
      </c>
      <c r="I7" s="20">
        <v>44</v>
      </c>
      <c r="J7" s="26">
        <v>0.05</v>
      </c>
    </row>
    <row r="8" spans="1:11" ht="22.2" customHeight="1">
      <c r="A8" s="25" t="s">
        <v>46</v>
      </c>
      <c r="B8" s="25"/>
      <c r="C8" s="29" t="s">
        <v>87</v>
      </c>
      <c r="D8" s="20" t="s">
        <v>47</v>
      </c>
      <c r="E8" s="20">
        <v>15</v>
      </c>
      <c r="F8" s="20">
        <v>14.1</v>
      </c>
      <c r="G8" s="20">
        <v>45.1</v>
      </c>
      <c r="H8" s="20">
        <v>36.5</v>
      </c>
      <c r="I8" s="20">
        <v>44.5</v>
      </c>
      <c r="J8" s="26">
        <v>7.0000000000000007E-2</v>
      </c>
    </row>
    <row r="9" spans="1:11" ht="22.2" customHeight="1">
      <c r="A9" s="25" t="s">
        <v>46</v>
      </c>
      <c r="B9" s="25" t="s">
        <v>84</v>
      </c>
      <c r="C9" s="29" t="s">
        <v>87</v>
      </c>
      <c r="D9" s="20" t="s">
        <v>19</v>
      </c>
      <c r="E9" s="20">
        <v>16.5</v>
      </c>
      <c r="F9" s="20">
        <v>15.3</v>
      </c>
      <c r="G9" s="20">
        <v>60</v>
      </c>
      <c r="H9" s="20">
        <v>36</v>
      </c>
      <c r="I9" s="20">
        <v>45</v>
      </c>
      <c r="J9" s="26">
        <v>0.1</v>
      </c>
    </row>
    <row r="10" spans="1:11" ht="22.2" customHeight="1">
      <c r="A10" s="25" t="s">
        <v>79</v>
      </c>
      <c r="B10" s="25" t="s">
        <v>84</v>
      </c>
      <c r="C10" s="29" t="s">
        <v>88</v>
      </c>
      <c r="D10" s="20" t="s">
        <v>9</v>
      </c>
      <c r="E10" s="20">
        <v>16.5</v>
      </c>
      <c r="F10" s="20">
        <v>15.5</v>
      </c>
      <c r="G10" s="20">
        <v>46.5</v>
      </c>
      <c r="H10" s="20">
        <v>32.5</v>
      </c>
      <c r="I10" s="20">
        <v>53.5</v>
      </c>
      <c r="J10" s="26">
        <v>8.0851875000000004E-2</v>
      </c>
    </row>
    <row r="11" spans="1:11" ht="22.2" customHeight="1">
      <c r="A11" s="25" t="s">
        <v>10</v>
      </c>
      <c r="B11" s="25" t="s">
        <v>84</v>
      </c>
      <c r="C11" s="29" t="s">
        <v>89</v>
      </c>
      <c r="D11" s="20" t="s">
        <v>11</v>
      </c>
      <c r="E11" s="20">
        <v>10.3</v>
      </c>
      <c r="F11" s="20">
        <v>9.6</v>
      </c>
      <c r="G11" s="20">
        <v>49</v>
      </c>
      <c r="H11" s="20">
        <v>27</v>
      </c>
      <c r="I11" s="20">
        <v>45</v>
      </c>
      <c r="J11" s="27">
        <v>0.06</v>
      </c>
    </row>
    <row r="12" spans="1:11" ht="22.2" customHeight="1">
      <c r="A12" s="25" t="s">
        <v>13</v>
      </c>
      <c r="B12" s="25" t="s">
        <v>84</v>
      </c>
      <c r="C12" s="29" t="s">
        <v>89</v>
      </c>
      <c r="D12" s="20" t="s">
        <v>11</v>
      </c>
      <c r="E12" s="20">
        <v>10.3</v>
      </c>
      <c r="F12" s="20">
        <v>9.6</v>
      </c>
      <c r="G12" s="20">
        <v>49</v>
      </c>
      <c r="H12" s="20">
        <v>27</v>
      </c>
      <c r="I12" s="20">
        <v>45</v>
      </c>
      <c r="J12" s="27" t="s">
        <v>12</v>
      </c>
      <c r="K12" t="s">
        <v>90</v>
      </c>
    </row>
    <row r="13" spans="1:11" ht="22.2" customHeight="1">
      <c r="A13" s="25" t="s">
        <v>14</v>
      </c>
      <c r="B13" s="25" t="s">
        <v>84</v>
      </c>
      <c r="C13" s="29" t="s">
        <v>91</v>
      </c>
      <c r="D13" s="20" t="s">
        <v>15</v>
      </c>
      <c r="E13" s="20">
        <v>13.8</v>
      </c>
      <c r="F13" s="20">
        <v>12.8</v>
      </c>
      <c r="G13" s="20">
        <v>58.5</v>
      </c>
      <c r="H13" s="20">
        <v>31</v>
      </c>
      <c r="I13" s="20">
        <v>51.2</v>
      </c>
      <c r="J13" s="26">
        <v>9.2851200000000009E-2</v>
      </c>
    </row>
    <row r="14" spans="1:11" ht="22.2" customHeight="1">
      <c r="A14" s="25" t="s">
        <v>16</v>
      </c>
      <c r="B14" s="25" t="s">
        <v>84</v>
      </c>
      <c r="C14" s="29" t="s">
        <v>91</v>
      </c>
      <c r="D14" s="20" t="s">
        <v>15</v>
      </c>
      <c r="E14" s="20">
        <v>13.8</v>
      </c>
      <c r="F14" s="20">
        <v>12.8</v>
      </c>
      <c r="G14" s="20">
        <v>58.5</v>
      </c>
      <c r="H14" s="20">
        <v>31</v>
      </c>
      <c r="I14" s="20">
        <v>51.2</v>
      </c>
      <c r="J14" s="26">
        <v>9.2851200000000009E-2</v>
      </c>
    </row>
    <row r="15" spans="1:11" ht="22.2" customHeight="1">
      <c r="A15" s="25" t="s">
        <v>17</v>
      </c>
      <c r="B15" s="25" t="s">
        <v>84</v>
      </c>
      <c r="C15" s="29" t="s">
        <v>92</v>
      </c>
      <c r="D15" s="28" t="s">
        <v>18</v>
      </c>
      <c r="E15" s="20">
        <v>20.55</v>
      </c>
      <c r="F15" s="20">
        <v>17.8</v>
      </c>
      <c r="G15" s="20">
        <v>24.5</v>
      </c>
      <c r="H15" s="20">
        <v>49.5</v>
      </c>
      <c r="I15" s="20">
        <v>49.5</v>
      </c>
      <c r="J15" s="26">
        <v>0.06</v>
      </c>
    </row>
    <row r="16" spans="1:11" ht="22.2" customHeight="1">
      <c r="A16" s="25" t="s">
        <v>83</v>
      </c>
      <c r="B16" s="25" t="s">
        <v>84</v>
      </c>
      <c r="C16" s="29" t="s">
        <v>93</v>
      </c>
      <c r="D16" s="20" t="s">
        <v>40</v>
      </c>
      <c r="E16" s="20">
        <v>12</v>
      </c>
      <c r="F16" s="20">
        <v>10</v>
      </c>
      <c r="G16" s="20">
        <v>32.4</v>
      </c>
      <c r="H16" s="20">
        <v>15</v>
      </c>
      <c r="I16" s="20">
        <v>32</v>
      </c>
      <c r="J16" s="26">
        <v>1.6E-2</v>
      </c>
    </row>
    <row r="17" spans="1:13" ht="22.2" customHeight="1">
      <c r="A17" s="25" t="s">
        <v>20</v>
      </c>
      <c r="B17" s="25" t="s">
        <v>84</v>
      </c>
      <c r="C17" s="29" t="s">
        <v>94</v>
      </c>
      <c r="D17" s="20" t="s">
        <v>19</v>
      </c>
      <c r="E17" s="20">
        <v>15</v>
      </c>
      <c r="F17" s="20">
        <v>14.15</v>
      </c>
      <c r="G17" s="20">
        <v>41</v>
      </c>
      <c r="H17" s="20">
        <v>30</v>
      </c>
      <c r="I17" s="20">
        <v>45.5</v>
      </c>
      <c r="J17" s="26">
        <v>5.5E-2</v>
      </c>
    </row>
    <row r="18" spans="1:13" ht="22.2" customHeight="1">
      <c r="A18" s="25" t="s">
        <v>21</v>
      </c>
      <c r="B18" s="25" t="s">
        <v>84</v>
      </c>
      <c r="C18" s="29" t="s">
        <v>95</v>
      </c>
      <c r="D18" s="20" t="s">
        <v>19</v>
      </c>
      <c r="E18" s="20">
        <v>7</v>
      </c>
      <c r="F18" s="20">
        <v>6</v>
      </c>
      <c r="G18" s="20">
        <v>29</v>
      </c>
      <c r="H18" s="20">
        <v>24.5</v>
      </c>
      <c r="I18" s="20">
        <v>16</v>
      </c>
      <c r="J18" s="26">
        <v>1.1368E-2</v>
      </c>
    </row>
    <row r="19" spans="1:13" ht="22.2" customHeight="1">
      <c r="A19" s="25" t="s">
        <v>96</v>
      </c>
      <c r="B19" s="25" t="s">
        <v>84</v>
      </c>
      <c r="C19" s="29" t="s">
        <v>97</v>
      </c>
      <c r="D19" s="20" t="s">
        <v>18</v>
      </c>
      <c r="E19" s="20">
        <v>9.6</v>
      </c>
      <c r="F19" s="20">
        <v>8.85</v>
      </c>
      <c r="G19" s="20">
        <v>31.5</v>
      </c>
      <c r="H19" s="20">
        <v>27.5</v>
      </c>
      <c r="I19" s="20">
        <v>45</v>
      </c>
      <c r="J19" s="26">
        <v>0.04</v>
      </c>
      <c r="K19" s="2"/>
    </row>
    <row r="20" spans="1:13" ht="22.2" customHeight="1">
      <c r="A20" s="30" t="s">
        <v>80</v>
      </c>
      <c r="B20" s="25" t="s">
        <v>84</v>
      </c>
      <c r="C20" s="31" t="s">
        <v>98</v>
      </c>
      <c r="D20" s="20" t="s">
        <v>22</v>
      </c>
      <c r="E20" s="20">
        <v>6.5</v>
      </c>
      <c r="F20" s="20">
        <v>5</v>
      </c>
      <c r="G20" s="20">
        <v>33.5</v>
      </c>
      <c r="H20" s="20">
        <v>29</v>
      </c>
      <c r="I20" s="20">
        <v>32</v>
      </c>
      <c r="J20" s="26">
        <v>3.1088000000000001E-2</v>
      </c>
      <c r="K20" s="2"/>
    </row>
    <row r="21" spans="1:13" ht="22.2" customHeight="1">
      <c r="A21" s="34" t="s">
        <v>86</v>
      </c>
      <c r="B21" s="25" t="s">
        <v>84</v>
      </c>
      <c r="C21" s="31" t="s">
        <v>102</v>
      </c>
      <c r="D21" s="20" t="s">
        <v>23</v>
      </c>
      <c r="E21" s="20">
        <v>8.3000000000000007</v>
      </c>
      <c r="F21" s="20">
        <v>7.5</v>
      </c>
      <c r="G21" s="20">
        <v>38</v>
      </c>
      <c r="H21" s="20">
        <v>33.5</v>
      </c>
      <c r="I21" s="20">
        <v>28.5</v>
      </c>
      <c r="J21" s="26">
        <v>3.5999999999999997E-2</v>
      </c>
      <c r="K21" s="2"/>
    </row>
    <row r="22" spans="1:13" ht="22.2" customHeight="1">
      <c r="A22" s="34" t="s">
        <v>169</v>
      </c>
      <c r="B22" s="25" t="s">
        <v>84</v>
      </c>
      <c r="C22" s="31" t="s">
        <v>101</v>
      </c>
      <c r="D22" s="20" t="s">
        <v>24</v>
      </c>
      <c r="E22" s="20">
        <v>10.4</v>
      </c>
      <c r="F22" s="20">
        <v>9.3000000000000007</v>
      </c>
      <c r="G22" s="20">
        <v>34.5</v>
      </c>
      <c r="H22" s="20">
        <v>26.5</v>
      </c>
      <c r="I22" s="20">
        <v>48</v>
      </c>
      <c r="J22" s="26">
        <v>4.3999999999999997E-2</v>
      </c>
      <c r="K22" s="2"/>
    </row>
    <row r="23" spans="1:13" ht="22.2" customHeight="1">
      <c r="A23" s="38" t="s">
        <v>109</v>
      </c>
      <c r="B23" s="35" t="s">
        <v>84</v>
      </c>
      <c r="C23" s="61" t="s">
        <v>104</v>
      </c>
      <c r="D23" s="36" t="s">
        <v>11</v>
      </c>
      <c r="E23" s="36">
        <v>29.4</v>
      </c>
      <c r="F23" s="36">
        <v>28</v>
      </c>
      <c r="G23" s="36">
        <v>45</v>
      </c>
      <c r="H23" s="36">
        <v>41</v>
      </c>
      <c r="I23" s="36">
        <v>54</v>
      </c>
      <c r="J23" s="37">
        <v>9.9629999999999996E-2</v>
      </c>
      <c r="K23" s="2"/>
    </row>
    <row r="24" spans="1:13" ht="22.2" customHeight="1">
      <c r="A24" s="38" t="s">
        <v>108</v>
      </c>
      <c r="B24" s="35" t="s">
        <v>84</v>
      </c>
      <c r="C24" s="61" t="s">
        <v>110</v>
      </c>
      <c r="D24" s="36" t="s">
        <v>11</v>
      </c>
      <c r="E24" s="36"/>
      <c r="F24" s="36"/>
      <c r="G24" s="36"/>
      <c r="H24" s="36"/>
      <c r="I24" s="36"/>
      <c r="J24" s="37"/>
      <c r="K24" s="2"/>
    </row>
    <row r="25" spans="1:13" ht="22.2" customHeight="1">
      <c r="A25" s="38" t="s">
        <v>107</v>
      </c>
      <c r="B25" s="35" t="s">
        <v>84</v>
      </c>
      <c r="C25" s="61" t="s">
        <v>105</v>
      </c>
      <c r="D25" s="36" t="s">
        <v>25</v>
      </c>
      <c r="E25" s="36">
        <v>27</v>
      </c>
      <c r="F25" s="36">
        <v>25.3</v>
      </c>
      <c r="G25" s="36">
        <v>61.5</v>
      </c>
      <c r="H25" s="36">
        <v>46</v>
      </c>
      <c r="I25" s="36">
        <v>35</v>
      </c>
      <c r="J25" s="37">
        <v>9.9015000000000006E-2</v>
      </c>
      <c r="K25" s="2"/>
    </row>
    <row r="26" spans="1:13" ht="22.2" customHeight="1">
      <c r="A26" s="30" t="s">
        <v>26</v>
      </c>
      <c r="B26" s="25" t="s">
        <v>84</v>
      </c>
      <c r="C26" s="31" t="s">
        <v>103</v>
      </c>
      <c r="D26" s="20" t="s">
        <v>19</v>
      </c>
      <c r="E26" s="20">
        <v>20</v>
      </c>
      <c r="F26" s="20">
        <v>19</v>
      </c>
      <c r="G26" s="20">
        <v>42.5</v>
      </c>
      <c r="H26" s="20">
        <v>32</v>
      </c>
      <c r="I26" s="20">
        <v>49</v>
      </c>
      <c r="J26" s="26">
        <v>6.6640000000000005E-2</v>
      </c>
      <c r="K26" s="2"/>
    </row>
    <row r="27" spans="1:13" ht="22.2" customHeight="1">
      <c r="A27" s="30" t="s">
        <v>27</v>
      </c>
      <c r="B27" s="25" t="s">
        <v>84</v>
      </c>
      <c r="C27" s="31" t="s">
        <v>106</v>
      </c>
      <c r="D27" s="20" t="s">
        <v>28</v>
      </c>
      <c r="E27" s="20">
        <v>12.75</v>
      </c>
      <c r="F27" s="20">
        <v>11.2</v>
      </c>
      <c r="G27" s="20">
        <v>37.5</v>
      </c>
      <c r="H27" s="20">
        <v>28.2</v>
      </c>
      <c r="I27" s="20">
        <v>34.799999999999997</v>
      </c>
      <c r="J27" s="26">
        <v>3.6801E-2</v>
      </c>
      <c r="K27" s="2"/>
    </row>
    <row r="28" spans="1:13" ht="22.2" customHeight="1" thickBot="1">
      <c r="A28" s="30" t="s">
        <v>29</v>
      </c>
      <c r="B28" s="25" t="s">
        <v>84</v>
      </c>
      <c r="C28" s="31" t="s">
        <v>170</v>
      </c>
      <c r="D28" s="20" t="s">
        <v>15</v>
      </c>
      <c r="E28" s="20">
        <v>13.8</v>
      </c>
      <c r="F28" s="20">
        <v>12.8</v>
      </c>
      <c r="G28" s="20">
        <v>58.5</v>
      </c>
      <c r="H28" s="20">
        <v>31</v>
      </c>
      <c r="I28" s="20">
        <v>51.2</v>
      </c>
      <c r="J28" s="26">
        <v>9.2851200000000009E-2</v>
      </c>
      <c r="K28" s="2"/>
    </row>
    <row r="29" spans="1:13" ht="22.2" customHeight="1" thickBot="1">
      <c r="A29" s="39" t="s">
        <v>118</v>
      </c>
      <c r="B29" s="25" t="s">
        <v>84</v>
      </c>
      <c r="C29" s="40" t="s">
        <v>119</v>
      </c>
      <c r="D29" s="41" t="s">
        <v>120</v>
      </c>
      <c r="E29" s="42">
        <v>16.3</v>
      </c>
      <c r="F29" s="42">
        <v>15.1</v>
      </c>
      <c r="G29" s="42">
        <v>42</v>
      </c>
      <c r="H29" s="42">
        <v>36</v>
      </c>
      <c r="I29" s="42">
        <v>53</v>
      </c>
      <c r="J29" s="43">
        <f t="shared" ref="J29" si="0">+G29*H29*I29/1000000</f>
        <v>8.0135999999999999E-2</v>
      </c>
      <c r="K29" s="2"/>
    </row>
    <row r="30" spans="1:13" ht="22.2" customHeight="1" thickBot="1">
      <c r="A30" s="39" t="s">
        <v>121</v>
      </c>
      <c r="B30" s="25" t="s">
        <v>84</v>
      </c>
      <c r="C30" s="31" t="s">
        <v>123</v>
      </c>
      <c r="D30" s="41" t="s">
        <v>122</v>
      </c>
      <c r="E30" s="42">
        <v>15.3</v>
      </c>
      <c r="F30" s="42">
        <v>14.3</v>
      </c>
      <c r="G30" s="42">
        <v>42.5</v>
      </c>
      <c r="H30" s="42">
        <v>40</v>
      </c>
      <c r="I30" s="42">
        <v>54.5</v>
      </c>
      <c r="J30" s="43">
        <v>9.2766407999999995E-2</v>
      </c>
      <c r="K30" s="2"/>
    </row>
    <row r="31" spans="1:13" ht="22.2" customHeight="1" thickBot="1">
      <c r="A31" s="39" t="s">
        <v>124</v>
      </c>
      <c r="B31" s="25" t="s">
        <v>84</v>
      </c>
      <c r="C31" s="40" t="s">
        <v>125</v>
      </c>
      <c r="D31" s="41" t="s">
        <v>77</v>
      </c>
      <c r="E31" s="42">
        <v>11.5</v>
      </c>
      <c r="F31" s="42">
        <v>10.9</v>
      </c>
      <c r="G31" s="42">
        <v>46</v>
      </c>
      <c r="H31" s="42">
        <v>40.5</v>
      </c>
      <c r="I31" s="42">
        <v>47</v>
      </c>
      <c r="J31" s="43">
        <f>G31*H31*I31/1000000</f>
        <v>8.7561E-2</v>
      </c>
      <c r="K31" s="2"/>
    </row>
    <row r="32" spans="1:13" ht="22.2" customHeight="1">
      <c r="A32" s="30" t="s">
        <v>30</v>
      </c>
      <c r="B32" s="25" t="s">
        <v>84</v>
      </c>
      <c r="C32" s="31" t="s">
        <v>101</v>
      </c>
      <c r="D32" s="32" t="s">
        <v>11</v>
      </c>
      <c r="E32" s="32">
        <v>13.5</v>
      </c>
      <c r="F32" s="32">
        <v>12.4</v>
      </c>
      <c r="G32" s="32">
        <v>47.5</v>
      </c>
      <c r="H32" s="32">
        <v>44.3</v>
      </c>
      <c r="I32" s="32">
        <v>32.5</v>
      </c>
      <c r="J32" s="33">
        <v>7.0000000000000007E-2</v>
      </c>
      <c r="K32" s="4"/>
      <c r="L32" s="4"/>
      <c r="M32" s="4"/>
    </row>
    <row r="33" spans="1:13" ht="22.2" customHeight="1">
      <c r="A33" s="30" t="s">
        <v>31</v>
      </c>
      <c r="B33" s="25" t="s">
        <v>84</v>
      </c>
      <c r="C33" s="31" t="s">
        <v>99</v>
      </c>
      <c r="D33" s="32" t="s">
        <v>32</v>
      </c>
      <c r="E33" s="32">
        <v>15.3</v>
      </c>
      <c r="F33" s="32">
        <v>13.95</v>
      </c>
      <c r="G33" s="32"/>
      <c r="H33" s="32"/>
      <c r="I33" s="32"/>
      <c r="J33" s="33"/>
      <c r="K33" s="4"/>
      <c r="L33" s="4"/>
      <c r="M33" s="4"/>
    </row>
    <row r="34" spans="1:13" ht="22.2" customHeight="1">
      <c r="A34" s="30" t="s">
        <v>33</v>
      </c>
      <c r="B34" s="25" t="s">
        <v>84</v>
      </c>
      <c r="C34" s="31" t="s">
        <v>111</v>
      </c>
      <c r="D34" s="32" t="s">
        <v>34</v>
      </c>
      <c r="E34" s="32">
        <v>11</v>
      </c>
      <c r="F34" s="32">
        <v>10</v>
      </c>
      <c r="G34" s="32">
        <v>41.5</v>
      </c>
      <c r="H34" s="32">
        <v>27.5</v>
      </c>
      <c r="I34" s="32">
        <v>21</v>
      </c>
      <c r="J34" s="33">
        <v>2.3966250000000001E-2</v>
      </c>
      <c r="K34" s="4"/>
      <c r="L34" s="4"/>
      <c r="M34" s="4"/>
    </row>
    <row r="35" spans="1:13" ht="22.2" customHeight="1">
      <c r="A35" s="25" t="s">
        <v>35</v>
      </c>
      <c r="B35" s="25" t="s">
        <v>84</v>
      </c>
      <c r="C35" s="29" t="s">
        <v>100</v>
      </c>
      <c r="D35" s="20" t="s">
        <v>11</v>
      </c>
      <c r="E35" s="20">
        <v>15</v>
      </c>
      <c r="F35" s="20">
        <v>14</v>
      </c>
      <c r="G35" s="20">
        <v>63</v>
      </c>
      <c r="H35" s="20">
        <v>32</v>
      </c>
      <c r="I35" s="20">
        <v>41</v>
      </c>
      <c r="J35" s="26">
        <v>8.2655999999999993E-2</v>
      </c>
    </row>
    <row r="36" spans="1:13" ht="22.2" customHeight="1">
      <c r="A36" s="25" t="s">
        <v>36</v>
      </c>
      <c r="B36" s="25" t="s">
        <v>84</v>
      </c>
      <c r="C36" s="29" t="s">
        <v>112</v>
      </c>
      <c r="D36" s="20" t="s">
        <v>37</v>
      </c>
      <c r="E36" s="20">
        <v>10.5</v>
      </c>
      <c r="F36" s="20">
        <v>9.6999999999999993</v>
      </c>
      <c r="G36" s="20">
        <v>37.5</v>
      </c>
      <c r="H36" s="20">
        <v>30.5</v>
      </c>
      <c r="I36" s="20">
        <v>46</v>
      </c>
      <c r="J36" s="26">
        <v>5.2999999999999999E-2</v>
      </c>
    </row>
    <row r="37" spans="1:13" ht="22.2" customHeight="1">
      <c r="A37" s="25" t="s">
        <v>38</v>
      </c>
      <c r="B37" s="25" t="s">
        <v>84</v>
      </c>
      <c r="C37" s="29" t="s">
        <v>113</v>
      </c>
      <c r="D37" s="20" t="s">
        <v>18</v>
      </c>
      <c r="E37" s="20">
        <v>10.72</v>
      </c>
      <c r="F37" s="20">
        <v>9.7200000000000006</v>
      </c>
      <c r="G37" s="20">
        <v>28</v>
      </c>
      <c r="H37" s="20">
        <v>28</v>
      </c>
      <c r="I37" s="20">
        <v>34.5</v>
      </c>
      <c r="J37" s="26">
        <v>2.7047999999999999E-2</v>
      </c>
    </row>
    <row r="38" spans="1:13" ht="22.2" customHeight="1">
      <c r="A38" s="25" t="s">
        <v>39</v>
      </c>
      <c r="B38" s="25" t="s">
        <v>84</v>
      </c>
      <c r="C38" s="29" t="s">
        <v>114</v>
      </c>
      <c r="D38" s="20" t="s">
        <v>40</v>
      </c>
      <c r="E38" s="20">
        <v>13</v>
      </c>
      <c r="F38" s="20">
        <v>11</v>
      </c>
      <c r="G38" s="20">
        <v>35</v>
      </c>
      <c r="H38" s="20">
        <v>22</v>
      </c>
      <c r="I38" s="20">
        <v>39</v>
      </c>
      <c r="J38" s="26">
        <v>0.03</v>
      </c>
    </row>
    <row r="39" spans="1:13" ht="22.2" customHeight="1">
      <c r="A39" s="25" t="s">
        <v>41</v>
      </c>
      <c r="B39" s="25" t="s">
        <v>84</v>
      </c>
      <c r="C39" s="29" t="s">
        <v>115</v>
      </c>
      <c r="D39" s="20" t="s">
        <v>18</v>
      </c>
      <c r="E39" s="20">
        <v>11.4</v>
      </c>
      <c r="F39" s="20">
        <v>11</v>
      </c>
      <c r="G39" s="20">
        <v>37.5</v>
      </c>
      <c r="H39" s="20">
        <v>28.2</v>
      </c>
      <c r="I39" s="20">
        <v>34.799999999999997</v>
      </c>
      <c r="J39" s="26">
        <v>3.6801E-2</v>
      </c>
    </row>
    <row r="40" spans="1:13" ht="22.2" customHeight="1">
      <c r="A40" s="25" t="s">
        <v>42</v>
      </c>
      <c r="B40" s="25" t="s">
        <v>84</v>
      </c>
      <c r="C40" s="29" t="s">
        <v>116</v>
      </c>
      <c r="D40" s="20" t="s">
        <v>44</v>
      </c>
      <c r="E40" s="20">
        <v>23</v>
      </c>
      <c r="F40" s="20">
        <v>21.5</v>
      </c>
      <c r="G40" s="20">
        <v>41.5</v>
      </c>
      <c r="H40" s="20">
        <v>41.5</v>
      </c>
      <c r="I40" s="20">
        <v>54.7</v>
      </c>
      <c r="J40" s="26">
        <v>9.4207075000000001E-2</v>
      </c>
    </row>
    <row r="41" spans="1:13" ht="22.2" customHeight="1">
      <c r="A41" s="25" t="s">
        <v>43</v>
      </c>
      <c r="B41" s="25" t="s">
        <v>84</v>
      </c>
      <c r="C41" s="29" t="s">
        <v>117</v>
      </c>
      <c r="D41" s="20" t="s">
        <v>19</v>
      </c>
      <c r="E41" s="20">
        <v>24</v>
      </c>
      <c r="F41" s="20">
        <v>23</v>
      </c>
      <c r="G41" s="20">
        <v>51.5</v>
      </c>
      <c r="H41" s="20">
        <v>33.5</v>
      </c>
      <c r="I41" s="20">
        <v>60</v>
      </c>
      <c r="J41" s="26">
        <v>0.104</v>
      </c>
    </row>
    <row r="42" spans="1:13" ht="16.2" customHeight="1">
      <c r="D42"/>
    </row>
    <row r="43" spans="1:13" ht="16.2" customHeight="1">
      <c r="A43" s="11" t="s">
        <v>62</v>
      </c>
      <c r="B43" s="11"/>
      <c r="D43"/>
    </row>
    <row r="44" spans="1:13" ht="16.2" customHeight="1">
      <c r="A44" s="1" t="s">
        <v>0</v>
      </c>
      <c r="B44" s="16"/>
      <c r="C44" s="1" t="s">
        <v>1</v>
      </c>
      <c r="D44" s="3" t="s">
        <v>8</v>
      </c>
      <c r="E44" s="9" t="s">
        <v>2</v>
      </c>
      <c r="F44" s="9" t="s">
        <v>3</v>
      </c>
      <c r="G44" s="9" t="s">
        <v>4</v>
      </c>
      <c r="H44" s="9" t="s">
        <v>5</v>
      </c>
      <c r="I44" s="9" t="s">
        <v>6</v>
      </c>
      <c r="J44" s="8" t="s">
        <v>7</v>
      </c>
    </row>
    <row r="45" spans="1:13" ht="16.2" customHeight="1">
      <c r="A45" s="30" t="s">
        <v>48</v>
      </c>
      <c r="B45" s="30"/>
      <c r="C45" s="31" t="s">
        <v>126</v>
      </c>
      <c r="D45" s="32" t="s">
        <v>32</v>
      </c>
      <c r="E45" s="20"/>
      <c r="F45" s="20"/>
      <c r="G45" s="20">
        <v>50.9</v>
      </c>
      <c r="H45" s="20">
        <v>39.6</v>
      </c>
      <c r="I45" s="20">
        <v>60</v>
      </c>
      <c r="J45" s="26">
        <v>0.12093840000000002</v>
      </c>
      <c r="K45" s="4"/>
    </row>
    <row r="46" spans="1:13" ht="16.2" customHeight="1">
      <c r="A46" s="30" t="s">
        <v>49</v>
      </c>
      <c r="B46" s="30"/>
      <c r="C46" s="31" t="s">
        <v>127</v>
      </c>
      <c r="D46" s="32" t="s">
        <v>32</v>
      </c>
      <c r="E46" s="20">
        <v>27</v>
      </c>
      <c r="F46" s="20">
        <v>24</v>
      </c>
      <c r="G46" s="20">
        <v>55</v>
      </c>
      <c r="H46" s="20">
        <v>33</v>
      </c>
      <c r="I46" s="20">
        <v>70</v>
      </c>
      <c r="J46" s="26">
        <v>0.12705</v>
      </c>
      <c r="K46" s="4"/>
    </row>
    <row r="47" spans="1:13" ht="16.2" customHeight="1">
      <c r="A47" s="30" t="s">
        <v>50</v>
      </c>
      <c r="B47" s="30"/>
      <c r="C47" s="31" t="s">
        <v>128</v>
      </c>
      <c r="D47" s="32" t="s">
        <v>63</v>
      </c>
      <c r="E47" s="20">
        <v>30</v>
      </c>
      <c r="F47" s="20">
        <v>28</v>
      </c>
      <c r="G47" s="20">
        <v>48</v>
      </c>
      <c r="H47" s="20">
        <v>51</v>
      </c>
      <c r="I47" s="20">
        <v>45</v>
      </c>
      <c r="J47" s="26">
        <v>0.11015999999999999</v>
      </c>
      <c r="K47" s="4"/>
    </row>
    <row r="48" spans="1:13" ht="16.2" customHeight="1">
      <c r="A48" s="30" t="s">
        <v>82</v>
      </c>
      <c r="B48" s="30"/>
      <c r="C48" s="31" t="s">
        <v>129</v>
      </c>
      <c r="D48" s="32"/>
      <c r="E48" s="20">
        <v>8</v>
      </c>
      <c r="F48" s="20">
        <v>6</v>
      </c>
      <c r="G48" s="20">
        <v>38</v>
      </c>
      <c r="H48" s="20">
        <v>56</v>
      </c>
      <c r="I48" s="20">
        <v>33</v>
      </c>
      <c r="J48" s="26">
        <v>7.0223999999999995E-2</v>
      </c>
      <c r="K48" s="4"/>
    </row>
    <row r="49" spans="1:11" ht="16.2" customHeight="1">
      <c r="A49" s="30" t="s">
        <v>51</v>
      </c>
      <c r="B49" s="30"/>
      <c r="C49" s="31" t="s">
        <v>130</v>
      </c>
      <c r="D49" s="32" t="s">
        <v>19</v>
      </c>
      <c r="E49" s="20">
        <v>7</v>
      </c>
      <c r="F49" s="20">
        <v>5</v>
      </c>
      <c r="G49" s="20">
        <v>46.5</v>
      </c>
      <c r="H49" s="20">
        <v>36.5</v>
      </c>
      <c r="I49" s="20">
        <v>55</v>
      </c>
      <c r="J49" s="26">
        <f>(G49*H49*I49)/1000000</f>
        <v>9.3348749999999994E-2</v>
      </c>
      <c r="K49" s="4"/>
    </row>
    <row r="50" spans="1:11" ht="16.2" customHeight="1">
      <c r="A50" s="30" t="s">
        <v>131</v>
      </c>
      <c r="B50" s="30"/>
      <c r="C50" s="31" t="s">
        <v>132</v>
      </c>
      <c r="D50" s="32" t="s">
        <v>28</v>
      </c>
      <c r="E50" s="20">
        <v>9.5</v>
      </c>
      <c r="F50" s="20">
        <v>9.3000000000000007</v>
      </c>
      <c r="G50" s="20">
        <v>36</v>
      </c>
      <c r="H50" s="20">
        <v>28</v>
      </c>
      <c r="I50" s="20">
        <v>33.5</v>
      </c>
      <c r="J50" s="26">
        <f>(G50*H50*I50)/1000000</f>
        <v>3.3767999999999999E-2</v>
      </c>
      <c r="K50" s="4"/>
    </row>
    <row r="51" spans="1:11" ht="16.2" customHeight="1">
      <c r="A51" s="30" t="s">
        <v>52</v>
      </c>
      <c r="B51" s="30"/>
      <c r="C51" s="31" t="s">
        <v>133</v>
      </c>
      <c r="D51" s="32" t="s">
        <v>63</v>
      </c>
      <c r="E51" s="20">
        <v>7</v>
      </c>
      <c r="F51" s="20">
        <v>5</v>
      </c>
      <c r="G51" s="20">
        <v>46.5</v>
      </c>
      <c r="H51" s="20">
        <v>36.5</v>
      </c>
      <c r="I51" s="20">
        <v>55</v>
      </c>
      <c r="J51" s="26">
        <f>(G51*H51*I51)/1000000</f>
        <v>9.3348749999999994E-2</v>
      </c>
      <c r="K51" s="4"/>
    </row>
    <row r="52" spans="1:11" ht="16.2" customHeight="1">
      <c r="A52" s="30" t="s">
        <v>53</v>
      </c>
      <c r="B52" s="30"/>
      <c r="C52" s="31" t="s">
        <v>134</v>
      </c>
      <c r="D52" s="32" t="s">
        <v>11</v>
      </c>
      <c r="E52" s="20">
        <v>10.3</v>
      </c>
      <c r="F52" s="20">
        <v>9.6</v>
      </c>
      <c r="G52" s="20">
        <v>49</v>
      </c>
      <c r="H52" s="20">
        <v>27</v>
      </c>
      <c r="I52" s="20">
        <v>45</v>
      </c>
      <c r="J52" s="26">
        <f>(G52*H52*I52)/1000000</f>
        <v>5.9534999999999998E-2</v>
      </c>
      <c r="K52" s="4" t="s">
        <v>135</v>
      </c>
    </row>
    <row r="53" spans="1:11" ht="16.2" customHeight="1">
      <c r="A53" s="30" t="s">
        <v>54</v>
      </c>
      <c r="B53" s="30"/>
      <c r="C53" s="31" t="s">
        <v>134</v>
      </c>
      <c r="D53" s="32" t="s">
        <v>11</v>
      </c>
      <c r="E53" s="20">
        <v>10.3</v>
      </c>
      <c r="F53" s="20">
        <v>9.6</v>
      </c>
      <c r="G53" s="20">
        <v>49</v>
      </c>
      <c r="H53" s="20">
        <v>27</v>
      </c>
      <c r="I53" s="20">
        <v>45</v>
      </c>
      <c r="J53" s="26">
        <f t="shared" ref="J53" si="1">(G53*H53*I53)/1000000</f>
        <v>5.9534999999999998E-2</v>
      </c>
      <c r="K53" s="4"/>
    </row>
    <row r="54" spans="1:11" ht="16.2" customHeight="1">
      <c r="A54" s="30" t="s">
        <v>55</v>
      </c>
      <c r="B54" s="30"/>
      <c r="C54" s="31" t="s">
        <v>113</v>
      </c>
      <c r="D54" s="32" t="s">
        <v>64</v>
      </c>
      <c r="E54" s="20">
        <v>10.72</v>
      </c>
      <c r="F54" s="20">
        <v>9.7200000000000006</v>
      </c>
      <c r="G54" s="20">
        <v>28</v>
      </c>
      <c r="H54" s="20">
        <v>28</v>
      </c>
      <c r="I54" s="20">
        <v>34.5</v>
      </c>
      <c r="J54" s="26">
        <v>2.7047999999999999E-2</v>
      </c>
      <c r="K54" s="4"/>
    </row>
    <row r="55" spans="1:11" ht="16.2" customHeight="1">
      <c r="A55" s="30" t="s">
        <v>56</v>
      </c>
      <c r="B55" s="30"/>
      <c r="C55" s="31" t="s">
        <v>106</v>
      </c>
      <c r="D55" s="32" t="s">
        <v>65</v>
      </c>
      <c r="E55" s="20">
        <v>12.75</v>
      </c>
      <c r="F55" s="20">
        <v>11.2</v>
      </c>
      <c r="G55" s="20">
        <v>37.5</v>
      </c>
      <c r="H55" s="20">
        <v>28.2</v>
      </c>
      <c r="I55" s="20">
        <v>34.799999999999997</v>
      </c>
      <c r="J55" s="26">
        <v>3.6801E-2</v>
      </c>
      <c r="K55" s="4"/>
    </row>
    <row r="56" spans="1:11" ht="16.2" customHeight="1">
      <c r="A56" s="30" t="s">
        <v>81</v>
      </c>
      <c r="B56" s="30"/>
      <c r="C56" s="31" t="s">
        <v>136</v>
      </c>
      <c r="D56" s="32"/>
      <c r="E56" s="20">
        <v>16</v>
      </c>
      <c r="F56" s="20">
        <v>15</v>
      </c>
      <c r="G56" s="20">
        <v>22</v>
      </c>
      <c r="H56" s="20">
        <v>7.8</v>
      </c>
      <c r="I56" s="20">
        <v>21</v>
      </c>
      <c r="J56" s="26">
        <v>9.3348749999999994E-2</v>
      </c>
      <c r="K56" s="4"/>
    </row>
    <row r="57" spans="1:11" ht="16.2" customHeight="1">
      <c r="A57" s="30" t="s">
        <v>57</v>
      </c>
      <c r="B57" s="30"/>
      <c r="C57" s="31" t="s">
        <v>137</v>
      </c>
      <c r="D57" s="32" t="s">
        <v>32</v>
      </c>
      <c r="E57" s="20">
        <v>10.3</v>
      </c>
      <c r="F57" s="20">
        <v>9.6</v>
      </c>
      <c r="G57" s="20">
        <v>21.8</v>
      </c>
      <c r="H57" s="20">
        <v>5.6</v>
      </c>
      <c r="I57" s="20">
        <v>14.1</v>
      </c>
      <c r="J57" s="26">
        <v>9.4E-2</v>
      </c>
      <c r="K57" s="4"/>
    </row>
    <row r="58" spans="1:11" ht="16.2" customHeight="1">
      <c r="A58" s="30" t="s">
        <v>58</v>
      </c>
      <c r="B58" s="30"/>
      <c r="C58" s="31" t="s">
        <v>138</v>
      </c>
      <c r="D58" s="32" t="s">
        <v>32</v>
      </c>
      <c r="E58" s="20">
        <v>10.3</v>
      </c>
      <c r="F58" s="20">
        <v>9.6</v>
      </c>
      <c r="G58" s="20">
        <v>21.8</v>
      </c>
      <c r="H58" s="20">
        <v>5.6</v>
      </c>
      <c r="I58" s="20">
        <v>14.1</v>
      </c>
      <c r="J58" s="26">
        <v>9.4E-2</v>
      </c>
      <c r="K58" s="4"/>
    </row>
    <row r="59" spans="1:11" ht="16.2" customHeight="1">
      <c r="A59" s="30" t="s">
        <v>60</v>
      </c>
      <c r="B59" s="30"/>
      <c r="C59" s="31" t="s">
        <v>139</v>
      </c>
      <c r="D59" s="32" t="s">
        <v>47</v>
      </c>
      <c r="E59" s="20">
        <v>15.6</v>
      </c>
      <c r="F59" s="20">
        <v>14.6</v>
      </c>
      <c r="G59" s="20">
        <v>54</v>
      </c>
      <c r="H59" s="20">
        <v>30</v>
      </c>
      <c r="I59" s="20">
        <v>44.5</v>
      </c>
      <c r="J59" s="26">
        <f t="shared" ref="J59:J60" si="2">(G59*H59*I59)/1000000</f>
        <v>7.2090000000000001E-2</v>
      </c>
      <c r="K59" s="4"/>
    </row>
    <row r="60" spans="1:11" ht="16.2" customHeight="1">
      <c r="A60" s="30" t="s">
        <v>59</v>
      </c>
      <c r="B60" s="30"/>
      <c r="C60" s="31" t="s">
        <v>140</v>
      </c>
      <c r="D60" s="32" t="s">
        <v>66</v>
      </c>
      <c r="E60" s="20">
        <v>20</v>
      </c>
      <c r="F60" s="20">
        <v>19.2</v>
      </c>
      <c r="G60" s="20">
        <v>48.5</v>
      </c>
      <c r="H60" s="20">
        <v>40.5</v>
      </c>
      <c r="I60" s="20">
        <v>42</v>
      </c>
      <c r="J60" s="26">
        <f t="shared" si="2"/>
        <v>8.2498500000000002E-2</v>
      </c>
      <c r="K60" s="4"/>
    </row>
    <row r="61" spans="1:11" ht="16.2" customHeight="1">
      <c r="A61" s="30" t="s">
        <v>61</v>
      </c>
      <c r="B61" s="30"/>
      <c r="C61" s="31" t="s">
        <v>128</v>
      </c>
      <c r="D61" s="32" t="s">
        <v>63</v>
      </c>
      <c r="E61" s="20">
        <v>30</v>
      </c>
      <c r="F61" s="20">
        <v>28</v>
      </c>
      <c r="G61" s="20">
        <f>12*4</f>
        <v>48</v>
      </c>
      <c r="H61" s="20">
        <f>25.5*2</f>
        <v>51</v>
      </c>
      <c r="I61" s="20">
        <f>2.5*18</f>
        <v>45</v>
      </c>
      <c r="J61" s="26">
        <f>(G61*H61*I61)/1000000</f>
        <v>0.11015999999999999</v>
      </c>
      <c r="K61" s="4"/>
    </row>
    <row r="62" spans="1:11" ht="16.2" customHeight="1">
      <c r="E62" s="2"/>
      <c r="F62" s="2"/>
      <c r="G62" s="2"/>
      <c r="H62" s="2"/>
      <c r="I62" s="2"/>
      <c r="J62" s="7"/>
    </row>
    <row r="63" spans="1:11" ht="16.2" customHeight="1">
      <c r="E63" s="2"/>
      <c r="F63" s="2"/>
      <c r="G63" s="2"/>
      <c r="H63" s="2"/>
      <c r="I63" s="2"/>
      <c r="J63" s="7"/>
    </row>
    <row r="64" spans="1:11" ht="16.2" customHeight="1">
      <c r="A64" s="10" t="s">
        <v>73</v>
      </c>
      <c r="B64" s="10"/>
    </row>
    <row r="65" spans="1:10" ht="16.2" customHeight="1">
      <c r="A65" s="12" t="s">
        <v>0</v>
      </c>
      <c r="B65" s="17"/>
      <c r="C65" s="17" t="s">
        <v>1</v>
      </c>
      <c r="D65" s="13" t="s">
        <v>8</v>
      </c>
      <c r="E65" s="14" t="s">
        <v>2</v>
      </c>
      <c r="F65" s="14" t="s">
        <v>3</v>
      </c>
      <c r="G65" s="14" t="s">
        <v>4</v>
      </c>
      <c r="H65" s="14" t="s">
        <v>5</v>
      </c>
      <c r="I65" s="14" t="s">
        <v>6</v>
      </c>
      <c r="J65" s="15" t="s">
        <v>7</v>
      </c>
    </row>
    <row r="66" spans="1:10" ht="16.2" customHeight="1">
      <c r="A66" s="48" t="s">
        <v>155</v>
      </c>
      <c r="B66" s="19"/>
      <c r="C66" s="48" t="s">
        <v>156</v>
      </c>
      <c r="D66" s="20" t="s">
        <v>71</v>
      </c>
      <c r="E66" s="19">
        <v>25</v>
      </c>
      <c r="F66" s="19">
        <v>24</v>
      </c>
      <c r="G66" s="58">
        <v>58</v>
      </c>
      <c r="H66" s="58">
        <v>43.5</v>
      </c>
      <c r="I66" s="58">
        <v>58.5</v>
      </c>
      <c r="J66" s="59">
        <v>0.14799999999999999</v>
      </c>
    </row>
    <row r="67" spans="1:10" ht="16.2" customHeight="1">
      <c r="A67" s="48" t="s">
        <v>157</v>
      </c>
      <c r="B67" s="19"/>
      <c r="C67" s="48" t="s">
        <v>156</v>
      </c>
      <c r="D67" s="20" t="s">
        <v>71</v>
      </c>
      <c r="E67" s="19">
        <v>25</v>
      </c>
      <c r="F67" s="19">
        <v>24</v>
      </c>
      <c r="G67" s="62">
        <v>58</v>
      </c>
      <c r="H67" s="62">
        <v>43.5</v>
      </c>
      <c r="I67" s="62">
        <v>58.5</v>
      </c>
      <c r="J67" s="63">
        <v>0.14799999999999999</v>
      </c>
    </row>
    <row r="68" spans="1:10" ht="16.2" customHeight="1">
      <c r="A68" s="48" t="s">
        <v>158</v>
      </c>
      <c r="B68" s="19"/>
      <c r="C68" s="48" t="s">
        <v>159</v>
      </c>
      <c r="D68" s="20" t="s">
        <v>72</v>
      </c>
      <c r="E68" s="19">
        <v>9.6</v>
      </c>
      <c r="F68" s="19">
        <v>8.8000000000000007</v>
      </c>
      <c r="G68" s="64">
        <v>31</v>
      </c>
      <c r="H68" s="64">
        <v>39</v>
      </c>
      <c r="I68" s="64">
        <v>42.5</v>
      </c>
      <c r="J68" s="65">
        <v>5.5E-2</v>
      </c>
    </row>
    <row r="69" spans="1:10" ht="16.2" customHeight="1">
      <c r="A69" s="48" t="s">
        <v>150</v>
      </c>
      <c r="B69" s="50"/>
      <c r="C69" s="48" t="s">
        <v>151</v>
      </c>
      <c r="D69" s="20"/>
      <c r="E69" s="19"/>
      <c r="F69" s="19"/>
      <c r="G69" s="66"/>
      <c r="H69" s="66"/>
      <c r="I69" s="66"/>
      <c r="J69" s="67"/>
    </row>
    <row r="70" spans="1:10" ht="16.2" customHeight="1">
      <c r="A70" s="48" t="s">
        <v>152</v>
      </c>
      <c r="B70" s="50"/>
      <c r="C70" s="48" t="s">
        <v>151</v>
      </c>
      <c r="D70" s="20"/>
      <c r="E70" s="19"/>
      <c r="F70" s="19"/>
      <c r="G70" s="19"/>
      <c r="H70" s="19"/>
      <c r="I70" s="19"/>
      <c r="J70" s="21"/>
    </row>
    <row r="71" spans="1:10" ht="16.2" customHeight="1">
      <c r="A71" s="48" t="s">
        <v>147</v>
      </c>
      <c r="B71" s="49"/>
      <c r="C71" s="60" t="s">
        <v>148</v>
      </c>
      <c r="D71" s="20" t="s">
        <v>69</v>
      </c>
      <c r="E71" s="19">
        <v>15.2</v>
      </c>
      <c r="F71" s="19">
        <v>14.2</v>
      </c>
      <c r="G71" s="19"/>
      <c r="H71" s="19"/>
      <c r="I71" s="19"/>
      <c r="J71" s="21"/>
    </row>
    <row r="72" spans="1:10" ht="16.2" customHeight="1">
      <c r="A72" s="48" t="s">
        <v>149</v>
      </c>
      <c r="B72" s="49"/>
      <c r="C72" s="60" t="s">
        <v>148</v>
      </c>
      <c r="D72" s="20"/>
      <c r="E72" s="19"/>
      <c r="F72" s="19"/>
      <c r="G72" s="19"/>
      <c r="H72" s="19"/>
      <c r="I72" s="19"/>
      <c r="J72" s="21"/>
    </row>
    <row r="73" spans="1:10" ht="16.2" customHeight="1">
      <c r="A73" s="50" t="s">
        <v>153</v>
      </c>
      <c r="B73" s="19"/>
      <c r="C73" s="48" t="s">
        <v>154</v>
      </c>
      <c r="D73" s="20" t="s">
        <v>28</v>
      </c>
      <c r="E73" s="55">
        <v>17.079999999999998</v>
      </c>
      <c r="F73" s="55">
        <v>16.5</v>
      </c>
      <c r="G73" s="55">
        <v>37</v>
      </c>
      <c r="H73" s="55">
        <v>17.5</v>
      </c>
      <c r="I73" s="55">
        <v>43.5</v>
      </c>
      <c r="J73" s="56">
        <v>2.816625E-2</v>
      </c>
    </row>
    <row r="74" spans="1:10" ht="16.2" customHeight="1">
      <c r="A74" s="48" t="s">
        <v>143</v>
      </c>
      <c r="B74" s="48"/>
      <c r="C74" s="48" t="s">
        <v>144</v>
      </c>
      <c r="D74" s="20" t="s">
        <v>68</v>
      </c>
      <c r="E74" s="19">
        <v>18.86</v>
      </c>
      <c r="F74" s="19">
        <v>17.239999999999998</v>
      </c>
      <c r="G74" s="19"/>
      <c r="H74" s="19"/>
      <c r="I74" s="19"/>
      <c r="J74" s="21"/>
    </row>
    <row r="75" spans="1:10" ht="16.2" customHeight="1">
      <c r="A75" s="48" t="s">
        <v>145</v>
      </c>
      <c r="B75" s="48"/>
      <c r="C75" s="48" t="s">
        <v>146</v>
      </c>
      <c r="D75" s="20" t="s">
        <v>67</v>
      </c>
      <c r="E75" s="19">
        <v>17.600000000000001</v>
      </c>
      <c r="F75" s="19">
        <v>16.600000000000001</v>
      </c>
      <c r="G75" s="70">
        <v>40.5</v>
      </c>
      <c r="H75" s="70">
        <v>33.5</v>
      </c>
      <c r="I75" s="70">
        <v>30</v>
      </c>
      <c r="J75" s="71">
        <v>0.41</v>
      </c>
    </row>
    <row r="76" spans="1:10" ht="16.2" customHeight="1">
      <c r="A76" s="30" t="s">
        <v>142</v>
      </c>
      <c r="B76" s="30"/>
      <c r="C76" s="47" t="s">
        <v>141</v>
      </c>
      <c r="D76" s="20" t="s">
        <v>18</v>
      </c>
      <c r="E76" s="19">
        <v>28.5</v>
      </c>
      <c r="F76" s="19">
        <v>27</v>
      </c>
      <c r="G76" s="68">
        <v>80</v>
      </c>
      <c r="H76" s="68">
        <v>31.5</v>
      </c>
      <c r="I76" s="68">
        <v>53.5</v>
      </c>
      <c r="J76" s="69">
        <v>0.13500000000000001</v>
      </c>
    </row>
    <row r="77" spans="1:10" ht="16.2" customHeight="1">
      <c r="A77" s="4"/>
      <c r="B77" s="4"/>
    </row>
    <row r="78" spans="1:10" ht="16.2" customHeight="1">
      <c r="A78" s="10" t="s">
        <v>78</v>
      </c>
      <c r="B78" s="10"/>
    </row>
    <row r="79" spans="1:10" ht="16.2" customHeight="1">
      <c r="A79" s="12" t="s">
        <v>0</v>
      </c>
      <c r="B79" s="12"/>
      <c r="C79" s="12" t="s">
        <v>1</v>
      </c>
      <c r="D79" s="44" t="s">
        <v>8</v>
      </c>
      <c r="E79" s="45" t="s">
        <v>2</v>
      </c>
      <c r="F79" s="45" t="s">
        <v>3</v>
      </c>
      <c r="G79" s="45" t="s">
        <v>4</v>
      </c>
      <c r="H79" s="45" t="s">
        <v>5</v>
      </c>
      <c r="I79" s="45" t="s">
        <v>6</v>
      </c>
      <c r="J79" s="46" t="s">
        <v>7</v>
      </c>
    </row>
    <row r="80" spans="1:10" s="5" customFormat="1" ht="16.2" customHeight="1">
      <c r="A80" s="51" t="s">
        <v>165</v>
      </c>
      <c r="B80" s="30"/>
      <c r="C80" s="51" t="s">
        <v>161</v>
      </c>
      <c r="D80" s="52" t="s">
        <v>40</v>
      </c>
      <c r="E80" s="25">
        <v>11.8</v>
      </c>
      <c r="F80" s="25">
        <v>11.6</v>
      </c>
      <c r="G80" s="25">
        <v>28.4</v>
      </c>
      <c r="H80" s="25">
        <v>31.6</v>
      </c>
      <c r="I80" s="25">
        <v>30</v>
      </c>
      <c r="J80" s="53">
        <v>2.7E-2</v>
      </c>
    </row>
    <row r="81" spans="1:10" s="5" customFormat="1" ht="16.2" customHeight="1">
      <c r="A81" s="30" t="s">
        <v>166</v>
      </c>
      <c r="B81" s="30"/>
      <c r="C81" s="51" t="s">
        <v>106</v>
      </c>
      <c r="D81" s="52" t="s">
        <v>28</v>
      </c>
      <c r="E81" s="25">
        <v>12.75</v>
      </c>
      <c r="F81" s="25">
        <v>11.2</v>
      </c>
      <c r="G81" s="25">
        <v>37.5</v>
      </c>
      <c r="H81" s="25">
        <v>28.2</v>
      </c>
      <c r="I81" s="25">
        <v>34.799999999999997</v>
      </c>
      <c r="J81" s="53">
        <v>3.6999999999999998E-2</v>
      </c>
    </row>
    <row r="82" spans="1:10" s="5" customFormat="1" ht="16.2" customHeight="1">
      <c r="A82" s="30" t="s">
        <v>75</v>
      </c>
      <c r="B82" s="30"/>
      <c r="C82" s="29" t="s">
        <v>167</v>
      </c>
      <c r="D82" s="25" t="s">
        <v>77</v>
      </c>
      <c r="E82" s="25">
        <v>12</v>
      </c>
      <c r="F82" s="25">
        <v>11.23</v>
      </c>
      <c r="G82" s="25">
        <v>36</v>
      </c>
      <c r="H82" s="25">
        <v>27</v>
      </c>
      <c r="I82" s="25">
        <v>27</v>
      </c>
      <c r="J82" s="53">
        <v>2.6244E-2</v>
      </c>
    </row>
    <row r="83" spans="1:10" s="5" customFormat="1" ht="16.2" customHeight="1">
      <c r="A83" s="30" t="s">
        <v>76</v>
      </c>
      <c r="B83" s="30"/>
      <c r="C83" s="51" t="s">
        <v>115</v>
      </c>
      <c r="D83" s="52" t="s">
        <v>18</v>
      </c>
      <c r="E83" s="25">
        <v>12.75</v>
      </c>
      <c r="F83" s="25">
        <v>11.2</v>
      </c>
      <c r="G83" s="25">
        <v>37.5</v>
      </c>
      <c r="H83" s="25">
        <v>28.2</v>
      </c>
      <c r="I83" s="25">
        <v>34.799999999999997</v>
      </c>
      <c r="J83" s="53">
        <v>3.6999999999999998E-2</v>
      </c>
    </row>
    <row r="84" spans="1:10" s="5" customFormat="1" ht="16.2" customHeight="1">
      <c r="A84" s="30" t="s">
        <v>39</v>
      </c>
      <c r="B84" s="30"/>
      <c r="C84" s="51" t="s">
        <v>160</v>
      </c>
      <c r="D84" s="52" t="s">
        <v>40</v>
      </c>
      <c r="E84" s="25">
        <v>11</v>
      </c>
      <c r="F84" s="25">
        <v>13</v>
      </c>
      <c r="G84" s="25">
        <v>35</v>
      </c>
      <c r="H84" s="25">
        <v>22</v>
      </c>
      <c r="I84" s="25">
        <v>39</v>
      </c>
      <c r="J84" s="53">
        <v>0.03</v>
      </c>
    </row>
    <row r="85" spans="1:10" s="5" customFormat="1" ht="16.2" customHeight="1">
      <c r="A85" s="52" t="s">
        <v>162</v>
      </c>
      <c r="B85" s="30"/>
      <c r="C85" s="29" t="s">
        <v>168</v>
      </c>
      <c r="D85" s="25" t="s">
        <v>70</v>
      </c>
      <c r="E85" s="25">
        <v>9.5440000000000005</v>
      </c>
      <c r="F85" s="25">
        <v>8.5440000000000005</v>
      </c>
      <c r="G85" s="25">
        <v>44.8</v>
      </c>
      <c r="H85" s="25">
        <v>30</v>
      </c>
      <c r="I85" s="25">
        <v>10</v>
      </c>
      <c r="J85" s="53">
        <v>1.2999999999999999E-2</v>
      </c>
    </row>
    <row r="86" spans="1:10" s="5" customFormat="1" ht="16.2" customHeight="1">
      <c r="A86" s="52" t="s">
        <v>163</v>
      </c>
      <c r="B86" s="25"/>
      <c r="C86" s="54" t="s">
        <v>164</v>
      </c>
      <c r="D86" s="52" t="s">
        <v>70</v>
      </c>
      <c r="E86" s="25"/>
      <c r="F86" s="25"/>
      <c r="G86" s="25"/>
      <c r="H86" s="25"/>
      <c r="I86" s="25"/>
      <c r="J86" s="53"/>
    </row>
  </sheetData>
  <phoneticPr fontId="30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4" sqref="I14"/>
    </sheetView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Hem Corp</cp:lastModifiedBy>
  <dcterms:created xsi:type="dcterms:W3CDTF">2026-06-16T13:11:10Z</dcterms:created>
  <dcterms:modified xsi:type="dcterms:W3CDTF">2026-06-26T11:32:03Z</dcterms:modified>
</cp:coreProperties>
</file>